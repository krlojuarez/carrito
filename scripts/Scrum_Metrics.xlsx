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D6F6DE34-02F3-4D08-8DF8-101046324B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locity" sheetId="1" r:id="rId1"/>
    <sheet name="Capacity" sheetId="5" r:id="rId2"/>
    <sheet name="Holidays" sheetId="6" r:id="rId3"/>
    <sheet name="Sprint 15 Jul15-Jul28" sheetId="2" r:id="rId4"/>
    <sheet name="Sprint 16 Jul29-Ago11" sheetId="3" r:id="rId5"/>
    <sheet name="Sprint 17 Comit" sheetId="8" state="hidden" r:id="rId6"/>
    <sheet name="Sprint 17 Ago12-Ago25" sheetId="4" r:id="rId7"/>
    <sheet name="Sprint 18 Ago26-Sep08 (commit)" sheetId="7" r:id="rId8"/>
  </sheets>
  <definedNames>
    <definedName name="_xlnm._FilterDatabase" localSheetId="2" hidden="1">Holidays!$A$1:$H$94</definedName>
    <definedName name="_xlnm._FilterDatabase" localSheetId="3" hidden="1">'Sprint 15 Jul15-Jul28'!$A$1:$O$29</definedName>
    <definedName name="_xlnm._FilterDatabase" localSheetId="4" hidden="1">'Sprint 16 Jul29-Ago11'!$A$2:$M$2</definedName>
    <definedName name="_xlnm._FilterDatabase" localSheetId="6" hidden="1">'Sprint 17 Ago12-Ago25'!$A$1:$O$1</definedName>
    <definedName name="_xlnm._FilterDatabase" localSheetId="5" hidden="1">'Sprint 17 Comit'!$A$33:$O$33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" i="1" l="1"/>
  <c r="G28" i="1"/>
  <c r="G27" i="1"/>
  <c r="K38" i="7"/>
  <c r="L38" i="7"/>
  <c r="K39" i="7"/>
  <c r="L39" i="7"/>
  <c r="K40" i="7"/>
  <c r="L40" i="7"/>
  <c r="K41" i="7"/>
  <c r="L41" i="7"/>
  <c r="K42" i="7"/>
  <c r="L42" i="7"/>
  <c r="K43" i="7"/>
  <c r="L43" i="7"/>
  <c r="K44" i="7"/>
  <c r="L44" i="7"/>
  <c r="K45" i="7"/>
  <c r="L45" i="7"/>
  <c r="K46" i="7"/>
  <c r="L46" i="7"/>
  <c r="K47" i="7"/>
  <c r="L47" i="7"/>
  <c r="K48" i="7"/>
  <c r="L48" i="7"/>
  <c r="K49" i="7"/>
  <c r="L49" i="7"/>
  <c r="K50" i="7"/>
  <c r="L50" i="7"/>
  <c r="K51" i="7"/>
  <c r="L51" i="7"/>
  <c r="K52" i="7"/>
  <c r="L52" i="7"/>
  <c r="K53" i="7"/>
  <c r="L53" i="7"/>
  <c r="K54" i="7"/>
  <c r="L54" i="7"/>
  <c r="K55" i="7"/>
  <c r="L55" i="7"/>
  <c r="K56" i="7"/>
  <c r="L56" i="7"/>
  <c r="K57" i="7"/>
  <c r="L57" i="7"/>
  <c r="K58" i="7"/>
  <c r="L58" i="7"/>
  <c r="K30" i="7"/>
  <c r="L30" i="7"/>
  <c r="K31" i="7"/>
  <c r="L31" i="7"/>
  <c r="K32" i="7"/>
  <c r="L32" i="7"/>
  <c r="K33" i="7"/>
  <c r="L33" i="7"/>
  <c r="K34" i="7"/>
  <c r="L34" i="7"/>
  <c r="K35" i="7"/>
  <c r="L35" i="7"/>
  <c r="K36" i="7"/>
  <c r="L36" i="7"/>
  <c r="K37" i="7"/>
  <c r="L37" i="7"/>
  <c r="K15" i="7"/>
  <c r="L15" i="7"/>
  <c r="K16" i="7"/>
  <c r="L16" i="7"/>
  <c r="K17" i="7"/>
  <c r="L17" i="7"/>
  <c r="K18" i="7"/>
  <c r="L18" i="7"/>
  <c r="K19" i="7"/>
  <c r="L19" i="7"/>
  <c r="K20" i="7"/>
  <c r="L20" i="7"/>
  <c r="K21" i="7"/>
  <c r="L21" i="7"/>
  <c r="K22" i="7"/>
  <c r="L22" i="7"/>
  <c r="K23" i="7"/>
  <c r="L23" i="7"/>
  <c r="K24" i="7"/>
  <c r="L24" i="7"/>
  <c r="K25" i="7"/>
  <c r="L25" i="7"/>
  <c r="K26" i="7"/>
  <c r="L26" i="7"/>
  <c r="K27" i="7"/>
  <c r="L27" i="7"/>
  <c r="K28" i="7"/>
  <c r="L28" i="7"/>
  <c r="K29" i="7"/>
  <c r="L29" i="7"/>
  <c r="K3" i="7"/>
  <c r="L3" i="7"/>
  <c r="K4" i="7"/>
  <c r="L4" i="7"/>
  <c r="K5" i="7"/>
  <c r="L5" i="7"/>
  <c r="K6" i="7"/>
  <c r="L6" i="7"/>
  <c r="K7" i="7"/>
  <c r="L7" i="7"/>
  <c r="K8" i="7"/>
  <c r="L8" i="7"/>
  <c r="K9" i="7"/>
  <c r="L9" i="7"/>
  <c r="K10" i="7"/>
  <c r="L10" i="7"/>
  <c r="K11" i="7"/>
  <c r="L11" i="7"/>
  <c r="K12" i="7"/>
  <c r="L12" i="7"/>
  <c r="K13" i="7"/>
  <c r="L13" i="7"/>
  <c r="K14" i="7"/>
  <c r="L14" i="7"/>
  <c r="L2" i="7"/>
  <c r="K2" i="7"/>
  <c r="M29" i="1"/>
  <c r="M28" i="1"/>
  <c r="M27" i="1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L3" i="3"/>
  <c r="K3" i="3"/>
  <c r="J28" i="1"/>
  <c r="I28" i="1"/>
  <c r="F28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L28" i="1"/>
  <c r="J29" i="1"/>
  <c r="I29" i="1"/>
  <c r="J27" i="1"/>
  <c r="I27" i="1"/>
  <c r="L27" i="1" s="1"/>
  <c r="L29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2" i="2"/>
  <c r="F27" i="1" s="1"/>
  <c r="J77" i="8"/>
  <c r="I77" i="8"/>
  <c r="J78" i="8" s="1"/>
  <c r="P76" i="8"/>
  <c r="L76" i="8"/>
  <c r="K76" i="8"/>
  <c r="M76" i="8" s="1"/>
  <c r="O76" i="8" s="1"/>
  <c r="P75" i="8"/>
  <c r="L75" i="8"/>
  <c r="K75" i="8"/>
  <c r="M75" i="8" s="1"/>
  <c r="P74" i="8"/>
  <c r="L74" i="8"/>
  <c r="K74" i="8"/>
  <c r="M74" i="8" s="1"/>
  <c r="P73" i="8"/>
  <c r="L73" i="8"/>
  <c r="K73" i="8"/>
  <c r="M73" i="8" s="1"/>
  <c r="P72" i="8"/>
  <c r="L72" i="8"/>
  <c r="K72" i="8"/>
  <c r="M72" i="8" s="1"/>
  <c r="P71" i="8"/>
  <c r="L71" i="8"/>
  <c r="K71" i="8"/>
  <c r="M71" i="8" s="1"/>
  <c r="P70" i="8"/>
  <c r="L70" i="8"/>
  <c r="K70" i="8"/>
  <c r="M70" i="8" s="1"/>
  <c r="P69" i="8"/>
  <c r="L69" i="8"/>
  <c r="K69" i="8"/>
  <c r="M69" i="8" s="1"/>
  <c r="P68" i="8"/>
  <c r="L68" i="8"/>
  <c r="K68" i="8"/>
  <c r="M68" i="8" s="1"/>
  <c r="P67" i="8"/>
  <c r="L67" i="8"/>
  <c r="K67" i="8"/>
  <c r="M67" i="8" s="1"/>
  <c r="P66" i="8"/>
  <c r="L66" i="8"/>
  <c r="K66" i="8"/>
  <c r="M66" i="8" s="1"/>
  <c r="P65" i="8"/>
  <c r="L65" i="8"/>
  <c r="K65" i="8"/>
  <c r="M65" i="8" s="1"/>
  <c r="P64" i="8"/>
  <c r="L64" i="8"/>
  <c r="K64" i="8"/>
  <c r="M64" i="8" s="1"/>
  <c r="P63" i="8"/>
  <c r="L63" i="8"/>
  <c r="K63" i="8"/>
  <c r="M63" i="8" s="1"/>
  <c r="P62" i="8"/>
  <c r="L62" i="8"/>
  <c r="K62" i="8"/>
  <c r="M62" i="8" s="1"/>
  <c r="P61" i="8"/>
  <c r="L61" i="8"/>
  <c r="K61" i="8"/>
  <c r="M61" i="8" s="1"/>
  <c r="P60" i="8"/>
  <c r="L60" i="8"/>
  <c r="K60" i="8"/>
  <c r="M60" i="8" s="1"/>
  <c r="P59" i="8"/>
  <c r="L59" i="8"/>
  <c r="K59" i="8"/>
  <c r="M59" i="8" s="1"/>
  <c r="P58" i="8"/>
  <c r="L58" i="8"/>
  <c r="K58" i="8"/>
  <c r="M58" i="8" s="1"/>
  <c r="P57" i="8"/>
  <c r="L57" i="8"/>
  <c r="K57" i="8"/>
  <c r="M57" i="8" s="1"/>
  <c r="P56" i="8"/>
  <c r="L56" i="8"/>
  <c r="K56" i="8"/>
  <c r="M56" i="8" s="1"/>
  <c r="P55" i="8"/>
  <c r="L55" i="8"/>
  <c r="K55" i="8"/>
  <c r="M55" i="8" s="1"/>
  <c r="P54" i="8"/>
  <c r="L54" i="8"/>
  <c r="K54" i="8"/>
  <c r="M54" i="8" s="1"/>
  <c r="P53" i="8"/>
  <c r="L53" i="8"/>
  <c r="K53" i="8"/>
  <c r="M53" i="8" s="1"/>
  <c r="P52" i="8"/>
  <c r="L52" i="8"/>
  <c r="K52" i="8"/>
  <c r="M52" i="8" s="1"/>
  <c r="P51" i="8"/>
  <c r="L51" i="8"/>
  <c r="K51" i="8"/>
  <c r="M51" i="8" s="1"/>
  <c r="P50" i="8"/>
  <c r="L50" i="8"/>
  <c r="K50" i="8"/>
  <c r="M50" i="8" s="1"/>
  <c r="P49" i="8"/>
  <c r="L49" i="8"/>
  <c r="K49" i="8"/>
  <c r="M49" i="8" s="1"/>
  <c r="P48" i="8"/>
  <c r="L48" i="8"/>
  <c r="K48" i="8"/>
  <c r="M48" i="8" s="1"/>
  <c r="P47" i="8"/>
  <c r="L47" i="8"/>
  <c r="K47" i="8"/>
  <c r="M47" i="8" s="1"/>
  <c r="P46" i="8"/>
  <c r="L46" i="8"/>
  <c r="K46" i="8"/>
  <c r="M46" i="8" s="1"/>
  <c r="P45" i="8"/>
  <c r="L45" i="8"/>
  <c r="K45" i="8"/>
  <c r="M45" i="8" s="1"/>
  <c r="P44" i="8"/>
  <c r="L44" i="8"/>
  <c r="K44" i="8"/>
  <c r="M44" i="8" s="1"/>
  <c r="P43" i="8"/>
  <c r="L43" i="8"/>
  <c r="K43" i="8"/>
  <c r="M43" i="8" s="1"/>
  <c r="P42" i="8"/>
  <c r="L42" i="8"/>
  <c r="K42" i="8"/>
  <c r="M42" i="8" s="1"/>
  <c r="P41" i="8"/>
  <c r="L41" i="8"/>
  <c r="K41" i="8"/>
  <c r="M41" i="8" s="1"/>
  <c r="P40" i="8"/>
  <c r="L40" i="8"/>
  <c r="K40" i="8"/>
  <c r="M40" i="8" s="1"/>
  <c r="P39" i="8"/>
  <c r="L39" i="8"/>
  <c r="K39" i="8"/>
  <c r="M39" i="8" s="1"/>
  <c r="P38" i="8"/>
  <c r="L38" i="8"/>
  <c r="K38" i="8"/>
  <c r="M38" i="8" s="1"/>
  <c r="P37" i="8"/>
  <c r="L37" i="8"/>
  <c r="K37" i="8"/>
  <c r="M37" i="8" s="1"/>
  <c r="P36" i="8"/>
  <c r="L36" i="8"/>
  <c r="K36" i="8"/>
  <c r="M36" i="8" s="1"/>
  <c r="P35" i="8"/>
  <c r="L35" i="8"/>
  <c r="K35" i="8"/>
  <c r="M35" i="8" s="1"/>
  <c r="P34" i="8"/>
  <c r="P77" i="8" s="1"/>
  <c r="L34" i="8"/>
  <c r="K34" i="8"/>
  <c r="M34" i="8" s="1"/>
  <c r="L30" i="8"/>
  <c r="K30" i="8"/>
  <c r="M30" i="8" s="1"/>
  <c r="O30" i="8" s="1"/>
  <c r="L29" i="8"/>
  <c r="K29" i="8"/>
  <c r="M29" i="8" s="1"/>
  <c r="O29" i="8" s="1"/>
  <c r="L28" i="8"/>
  <c r="K28" i="8"/>
  <c r="M28" i="8" s="1"/>
  <c r="O28" i="8" s="1"/>
  <c r="L27" i="8"/>
  <c r="K27" i="8"/>
  <c r="M27" i="8" s="1"/>
  <c r="O27" i="8" s="1"/>
  <c r="L26" i="8"/>
  <c r="K26" i="8"/>
  <c r="M26" i="8" s="1"/>
  <c r="O26" i="8" s="1"/>
  <c r="L25" i="8"/>
  <c r="K25" i="8"/>
  <c r="M25" i="8" s="1"/>
  <c r="O25" i="8" s="1"/>
  <c r="L24" i="8"/>
  <c r="K24" i="8"/>
  <c r="M24" i="8" s="1"/>
  <c r="O24" i="8" s="1"/>
  <c r="L23" i="8"/>
  <c r="K23" i="8"/>
  <c r="M23" i="8" s="1"/>
  <c r="O23" i="8" s="1"/>
  <c r="L22" i="8"/>
  <c r="K22" i="8"/>
  <c r="M22" i="8" s="1"/>
  <c r="O22" i="8" s="1"/>
  <c r="L21" i="8"/>
  <c r="K21" i="8"/>
  <c r="M21" i="8" s="1"/>
  <c r="O21" i="8" s="1"/>
  <c r="L20" i="8"/>
  <c r="K20" i="8"/>
  <c r="M20" i="8" s="1"/>
  <c r="O20" i="8" s="1"/>
  <c r="L19" i="8"/>
  <c r="K19" i="8"/>
  <c r="M19" i="8" s="1"/>
  <c r="O19" i="8" s="1"/>
  <c r="L18" i="8"/>
  <c r="K18" i="8"/>
  <c r="M18" i="8" s="1"/>
  <c r="O18" i="8" s="1"/>
  <c r="L17" i="8"/>
  <c r="K17" i="8"/>
  <c r="M17" i="8" s="1"/>
  <c r="O17" i="8" s="1"/>
  <c r="L16" i="8"/>
  <c r="K16" i="8"/>
  <c r="M16" i="8" s="1"/>
  <c r="O16" i="8" s="1"/>
  <c r="L15" i="8"/>
  <c r="K15" i="8"/>
  <c r="M15" i="8" s="1"/>
  <c r="O15" i="8" s="1"/>
  <c r="L14" i="8"/>
  <c r="K14" i="8"/>
  <c r="M14" i="8" s="1"/>
  <c r="O14" i="8" s="1"/>
  <c r="L13" i="8"/>
  <c r="K13" i="8"/>
  <c r="M13" i="8" s="1"/>
  <c r="O13" i="8" s="1"/>
  <c r="L12" i="8"/>
  <c r="K12" i="8"/>
  <c r="M12" i="8" s="1"/>
  <c r="O12" i="8" s="1"/>
  <c r="L11" i="8"/>
  <c r="K11" i="8"/>
  <c r="M11" i="8" s="1"/>
  <c r="O11" i="8" s="1"/>
  <c r="L10" i="8"/>
  <c r="K10" i="8"/>
  <c r="M10" i="8" s="1"/>
  <c r="O10" i="8" s="1"/>
  <c r="L9" i="8"/>
  <c r="K9" i="8"/>
  <c r="M9" i="8" s="1"/>
  <c r="O9" i="8" s="1"/>
  <c r="L8" i="8"/>
  <c r="K8" i="8"/>
  <c r="M8" i="8" s="1"/>
  <c r="O8" i="8" s="1"/>
  <c r="L7" i="8"/>
  <c r="K7" i="8"/>
  <c r="M7" i="8" s="1"/>
  <c r="O7" i="8" s="1"/>
  <c r="L6" i="8"/>
  <c r="K6" i="8"/>
  <c r="M6" i="8" s="1"/>
  <c r="O6" i="8" s="1"/>
  <c r="L5" i="8"/>
  <c r="K5" i="8"/>
  <c r="M5" i="8" s="1"/>
  <c r="O5" i="8" s="1"/>
  <c r="L4" i="8"/>
  <c r="K4" i="8"/>
  <c r="M4" i="8" s="1"/>
  <c r="O4" i="8" s="1"/>
  <c r="R3" i="8"/>
  <c r="L3" i="8"/>
  <c r="K3" i="8"/>
  <c r="M3" i="8" s="1"/>
  <c r="O3" i="8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2" i="4"/>
  <c r="F29" i="1" s="1"/>
  <c r="U29" i="5"/>
  <c r="U30" i="5"/>
  <c r="U21" i="5"/>
  <c r="K18" i="4"/>
  <c r="L18" i="4"/>
  <c r="M18" i="4"/>
  <c r="N18" i="4" s="1"/>
  <c r="O18" i="4"/>
  <c r="K19" i="4"/>
  <c r="L19" i="4"/>
  <c r="M19" i="4"/>
  <c r="N19" i="4" s="1"/>
  <c r="O19" i="4"/>
  <c r="K20" i="4"/>
  <c r="L20" i="4"/>
  <c r="M20" i="4"/>
  <c r="N20" i="4" s="1"/>
  <c r="O20" i="4"/>
  <c r="K21" i="4"/>
  <c r="L21" i="4"/>
  <c r="M21" i="4"/>
  <c r="N21" i="4" s="1"/>
  <c r="O21" i="4"/>
  <c r="K22" i="4"/>
  <c r="L22" i="4"/>
  <c r="M22" i="4"/>
  <c r="N22" i="4" s="1"/>
  <c r="O22" i="4"/>
  <c r="K23" i="4"/>
  <c r="L23" i="4"/>
  <c r="M23" i="4"/>
  <c r="N23" i="4" s="1"/>
  <c r="O23" i="4"/>
  <c r="K24" i="4"/>
  <c r="L24" i="4"/>
  <c r="M24" i="4"/>
  <c r="N24" i="4" s="1"/>
  <c r="O24" i="4"/>
  <c r="K25" i="4"/>
  <c r="L25" i="4"/>
  <c r="M25" i="4"/>
  <c r="N25" i="4" s="1"/>
  <c r="O25" i="4"/>
  <c r="K26" i="4"/>
  <c r="L26" i="4"/>
  <c r="M26" i="4"/>
  <c r="N26" i="4" s="1"/>
  <c r="O26" i="4"/>
  <c r="K27" i="4"/>
  <c r="L27" i="4"/>
  <c r="M27" i="4"/>
  <c r="N27" i="4" s="1"/>
  <c r="O27" i="4"/>
  <c r="K29" i="4"/>
  <c r="L29" i="4"/>
  <c r="M29" i="4"/>
  <c r="N29" i="4" s="1"/>
  <c r="O29" i="4"/>
  <c r="K28" i="4"/>
  <c r="L28" i="4"/>
  <c r="M28" i="4"/>
  <c r="N28" i="4" s="1"/>
  <c r="O28" i="4"/>
  <c r="K30" i="4"/>
  <c r="L30" i="4"/>
  <c r="M30" i="4"/>
  <c r="N30" i="4" s="1"/>
  <c r="O30" i="4"/>
  <c r="K31" i="4"/>
  <c r="L31" i="4"/>
  <c r="M31" i="4"/>
  <c r="N31" i="4" s="1"/>
  <c r="O31" i="4"/>
  <c r="K32" i="4"/>
  <c r="L32" i="4"/>
  <c r="M32" i="4"/>
  <c r="N32" i="4" s="1"/>
  <c r="O32" i="4"/>
  <c r="K33" i="4"/>
  <c r="L33" i="4"/>
  <c r="M33" i="4"/>
  <c r="N33" i="4" s="1"/>
  <c r="O33" i="4"/>
  <c r="K34" i="4"/>
  <c r="L34" i="4"/>
  <c r="M34" i="4"/>
  <c r="N34" i="4" s="1"/>
  <c r="O34" i="4"/>
  <c r="K35" i="4"/>
  <c r="L35" i="4"/>
  <c r="M35" i="4"/>
  <c r="N35" i="4" s="1"/>
  <c r="O35" i="4"/>
  <c r="K36" i="4"/>
  <c r="L36" i="4"/>
  <c r="M36" i="4"/>
  <c r="N36" i="4" s="1"/>
  <c r="O36" i="4"/>
  <c r="K37" i="4"/>
  <c r="L37" i="4"/>
  <c r="M37" i="4"/>
  <c r="N37" i="4" s="1"/>
  <c r="O37" i="4"/>
  <c r="K38" i="4"/>
  <c r="L38" i="4"/>
  <c r="M38" i="4"/>
  <c r="N38" i="4" s="1"/>
  <c r="O38" i="4"/>
  <c r="K39" i="4"/>
  <c r="L39" i="4"/>
  <c r="M39" i="4"/>
  <c r="N39" i="4" s="1"/>
  <c r="O39" i="4"/>
  <c r="K40" i="4"/>
  <c r="L40" i="4"/>
  <c r="M40" i="4"/>
  <c r="K41" i="4"/>
  <c r="L41" i="4"/>
  <c r="M41" i="4"/>
  <c r="K42" i="4"/>
  <c r="L42" i="4"/>
  <c r="M42" i="4"/>
  <c r="K43" i="4"/>
  <c r="L43" i="4"/>
  <c r="M43" i="4"/>
  <c r="K44" i="4"/>
  <c r="L44" i="4"/>
  <c r="M44" i="4"/>
  <c r="O44" i="4"/>
  <c r="K8" i="4"/>
  <c r="L8" i="4"/>
  <c r="M8" i="4"/>
  <c r="N8" i="4" s="1"/>
  <c r="O8" i="4"/>
  <c r="K9" i="4"/>
  <c r="L9" i="4"/>
  <c r="M9" i="4"/>
  <c r="N9" i="4" s="1"/>
  <c r="O9" i="4"/>
  <c r="K10" i="4"/>
  <c r="L10" i="4"/>
  <c r="M10" i="4"/>
  <c r="N10" i="4" s="1"/>
  <c r="O10" i="4"/>
  <c r="K11" i="4"/>
  <c r="L11" i="4"/>
  <c r="M11" i="4"/>
  <c r="N11" i="4" s="1"/>
  <c r="O11" i="4"/>
  <c r="K12" i="4"/>
  <c r="L12" i="4"/>
  <c r="M12" i="4"/>
  <c r="N12" i="4" s="1"/>
  <c r="O12" i="4"/>
  <c r="K13" i="4"/>
  <c r="L13" i="4"/>
  <c r="M13" i="4"/>
  <c r="N13" i="4" s="1"/>
  <c r="O13" i="4"/>
  <c r="K14" i="4"/>
  <c r="L14" i="4"/>
  <c r="M14" i="4"/>
  <c r="N14" i="4" s="1"/>
  <c r="O14" i="4"/>
  <c r="K15" i="4"/>
  <c r="L15" i="4"/>
  <c r="M15" i="4"/>
  <c r="N15" i="4" s="1"/>
  <c r="O15" i="4"/>
  <c r="K16" i="4"/>
  <c r="L16" i="4"/>
  <c r="M16" i="4"/>
  <c r="N16" i="4" s="1"/>
  <c r="O16" i="4"/>
  <c r="K17" i="4"/>
  <c r="L17" i="4"/>
  <c r="M17" i="4"/>
  <c r="N17" i="4" s="1"/>
  <c r="O17" i="4"/>
  <c r="K2" i="4"/>
  <c r="L2" i="4"/>
  <c r="M2" i="4"/>
  <c r="N2" i="4" s="1"/>
  <c r="O2" i="4"/>
  <c r="K3" i="4"/>
  <c r="L3" i="4"/>
  <c r="M3" i="4"/>
  <c r="N3" i="4" s="1"/>
  <c r="O3" i="4"/>
  <c r="K4" i="4"/>
  <c r="L4" i="4"/>
  <c r="M4" i="4"/>
  <c r="N4" i="4" s="1"/>
  <c r="O4" i="4"/>
  <c r="K5" i="4"/>
  <c r="L5" i="4"/>
  <c r="M5" i="4"/>
  <c r="N5" i="4" s="1"/>
  <c r="O5" i="4"/>
  <c r="K6" i="4"/>
  <c r="L6" i="4"/>
  <c r="M6" i="4"/>
  <c r="N6" i="4" s="1"/>
  <c r="O6" i="4"/>
  <c r="K7" i="4"/>
  <c r="L7" i="4"/>
  <c r="M7" i="4"/>
  <c r="N7" i="4" s="1"/>
  <c r="O7" i="4"/>
  <c r="Y22" i="5"/>
  <c r="Y23" i="5"/>
  <c r="Y24" i="5"/>
  <c r="Y25" i="5"/>
  <c r="Y26" i="5"/>
  <c r="Y27" i="5"/>
  <c r="Y28" i="5"/>
  <c r="Y29" i="5"/>
  <c r="Y30" i="5"/>
  <c r="Y31" i="5"/>
  <c r="Y21" i="5"/>
  <c r="S21" i="5"/>
  <c r="N31" i="5"/>
  <c r="P31" i="5" s="1"/>
  <c r="N30" i="5"/>
  <c r="P30" i="5" s="1"/>
  <c r="N29" i="5"/>
  <c r="P29" i="5" s="1"/>
  <c r="N28" i="5"/>
  <c r="P28" i="5" s="1"/>
  <c r="N27" i="5"/>
  <c r="P27" i="5" s="1"/>
  <c r="N26" i="5"/>
  <c r="P26" i="5" s="1"/>
  <c r="N25" i="5"/>
  <c r="P25" i="5" s="1"/>
  <c r="N24" i="5"/>
  <c r="P24" i="5" s="1"/>
  <c r="N23" i="5"/>
  <c r="P23" i="5" s="1"/>
  <c r="N22" i="5"/>
  <c r="P22" i="5" s="1"/>
  <c r="N21" i="5"/>
  <c r="S22" i="5"/>
  <c r="S23" i="5"/>
  <c r="S24" i="5"/>
  <c r="S25" i="5"/>
  <c r="S26" i="5"/>
  <c r="S27" i="5"/>
  <c r="S28" i="5"/>
  <c r="S29" i="5"/>
  <c r="S30" i="5"/>
  <c r="S31" i="5"/>
  <c r="I22" i="5"/>
  <c r="I23" i="5"/>
  <c r="I24" i="5"/>
  <c r="I25" i="5"/>
  <c r="I26" i="5"/>
  <c r="I27" i="5"/>
  <c r="I28" i="5"/>
  <c r="I29" i="5"/>
  <c r="I30" i="5"/>
  <c r="I31" i="5"/>
  <c r="I21" i="5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3" i="3"/>
  <c r="O3" i="3" s="1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L2" i="2"/>
  <c r="K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2" i="2"/>
  <c r="H28" i="1" l="1"/>
  <c r="H27" i="1"/>
  <c r="H29" i="1"/>
  <c r="N21" i="3"/>
  <c r="O21" i="3"/>
  <c r="N20" i="3"/>
  <c r="O20" i="3"/>
  <c r="N19" i="3"/>
  <c r="O19" i="3"/>
  <c r="N18" i="3"/>
  <c r="O18" i="3"/>
  <c r="N17" i="3"/>
  <c r="O17" i="3"/>
  <c r="N16" i="3"/>
  <c r="O16" i="3"/>
  <c r="N15" i="3"/>
  <c r="O15" i="3"/>
  <c r="N14" i="3"/>
  <c r="O14" i="3"/>
  <c r="N13" i="3"/>
  <c r="O13" i="3"/>
  <c r="N12" i="3"/>
  <c r="O12" i="3"/>
  <c r="N11" i="3"/>
  <c r="O11" i="3"/>
  <c r="N10" i="3"/>
  <c r="O10" i="3"/>
  <c r="N9" i="3"/>
  <c r="O9" i="3"/>
  <c r="N8" i="3"/>
  <c r="O8" i="3"/>
  <c r="N7" i="3"/>
  <c r="O7" i="3"/>
  <c r="N6" i="3"/>
  <c r="O6" i="3"/>
  <c r="N5" i="3"/>
  <c r="O5" i="3"/>
  <c r="N4" i="3"/>
  <c r="O4" i="3"/>
  <c r="E28" i="1" s="1"/>
  <c r="D29" i="1"/>
  <c r="K29" i="1" s="1"/>
  <c r="N3" i="3"/>
  <c r="D28" i="1" s="1"/>
  <c r="K28" i="1" s="1"/>
  <c r="N2" i="2"/>
  <c r="O2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34" i="8"/>
  <c r="N34" i="8"/>
  <c r="O35" i="8"/>
  <c r="N35" i="8"/>
  <c r="O36" i="8"/>
  <c r="N36" i="8"/>
  <c r="O37" i="8"/>
  <c r="N37" i="8"/>
  <c r="O38" i="8"/>
  <c r="N38" i="8"/>
  <c r="O39" i="8"/>
  <c r="N39" i="8"/>
  <c r="O40" i="8"/>
  <c r="N40" i="8"/>
  <c r="O41" i="8"/>
  <c r="N41" i="8"/>
  <c r="O42" i="8"/>
  <c r="N42" i="8"/>
  <c r="O43" i="8"/>
  <c r="N43" i="8"/>
  <c r="O44" i="8"/>
  <c r="N44" i="8"/>
  <c r="O45" i="8"/>
  <c r="N45" i="8"/>
  <c r="O46" i="8"/>
  <c r="N46" i="8"/>
  <c r="O47" i="8"/>
  <c r="N47" i="8"/>
  <c r="O48" i="8"/>
  <c r="N48" i="8"/>
  <c r="O49" i="8"/>
  <c r="N49" i="8"/>
  <c r="O50" i="8"/>
  <c r="N50" i="8"/>
  <c r="O51" i="8"/>
  <c r="N51" i="8"/>
  <c r="O52" i="8"/>
  <c r="N52" i="8"/>
  <c r="O53" i="8"/>
  <c r="N53" i="8"/>
  <c r="O54" i="8"/>
  <c r="N54" i="8"/>
  <c r="O55" i="8"/>
  <c r="N55" i="8"/>
  <c r="O56" i="8"/>
  <c r="N56" i="8"/>
  <c r="O57" i="8"/>
  <c r="N57" i="8"/>
  <c r="O58" i="8"/>
  <c r="N58" i="8"/>
  <c r="O59" i="8"/>
  <c r="N59" i="8"/>
  <c r="O60" i="8"/>
  <c r="N60" i="8"/>
  <c r="O61" i="8"/>
  <c r="N61" i="8"/>
  <c r="O62" i="8"/>
  <c r="N62" i="8"/>
  <c r="O63" i="8"/>
  <c r="N63" i="8"/>
  <c r="O64" i="8"/>
  <c r="N64" i="8"/>
  <c r="O65" i="8"/>
  <c r="N65" i="8"/>
  <c r="O66" i="8"/>
  <c r="N66" i="8"/>
  <c r="O67" i="8"/>
  <c r="N67" i="8"/>
  <c r="O68" i="8"/>
  <c r="N68" i="8"/>
  <c r="O69" i="8"/>
  <c r="N69" i="8"/>
  <c r="O70" i="8"/>
  <c r="N70" i="8"/>
  <c r="O71" i="8"/>
  <c r="N71" i="8"/>
  <c r="O72" i="8"/>
  <c r="N72" i="8"/>
  <c r="O73" i="8"/>
  <c r="N73" i="8"/>
  <c r="O74" i="8"/>
  <c r="N74" i="8"/>
  <c r="O75" i="8"/>
  <c r="N75" i="8"/>
  <c r="E29" i="1"/>
  <c r="P21" i="5"/>
  <c r="K21" i="5"/>
  <c r="E21" i="5" s="1"/>
  <c r="K31" i="5"/>
  <c r="E31" i="5" s="1"/>
  <c r="K30" i="5"/>
  <c r="E30" i="5" s="1"/>
  <c r="K29" i="5"/>
  <c r="E29" i="5" s="1"/>
  <c r="K28" i="5"/>
  <c r="E28" i="5" s="1"/>
  <c r="K27" i="5"/>
  <c r="E27" i="5" s="1"/>
  <c r="K26" i="5"/>
  <c r="E26" i="5" s="1"/>
  <c r="K25" i="5"/>
  <c r="E25" i="5" s="1"/>
  <c r="K24" i="5"/>
  <c r="E24" i="5" s="1"/>
  <c r="K23" i="5"/>
  <c r="E23" i="5" s="1"/>
  <c r="K22" i="5"/>
  <c r="E22" i="5" s="1"/>
  <c r="D27" i="1" l="1"/>
  <c r="K27" i="1" s="1"/>
  <c r="E27" i="1"/>
  <c r="O77" i="8"/>
  <c r="F23" i="5"/>
  <c r="F24" i="5"/>
  <c r="F26" i="5"/>
  <c r="F29" i="5"/>
  <c r="F30" i="5"/>
  <c r="F31" i="5"/>
  <c r="F21" i="5"/>
  <c r="F22" i="5"/>
  <c r="F28" i="5"/>
  <c r="F27" i="5"/>
  <c r="F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Gina Pardini</author>
  </authors>
  <commentList>
    <comment ref="D26" authorId="0" shapeId="0" xr:uid="{6D0D5B3F-9152-47E0-80C1-7DACDFC50DB5}">
      <text>
        <r>
          <rPr>
            <sz val="11"/>
            <color theme="1"/>
            <rFont val="Calibri"/>
            <family val="2"/>
            <scheme val="minor"/>
          </rPr>
          <t>sum of SP that were committed to the sprint.</t>
        </r>
      </text>
    </comment>
    <comment ref="E26" authorId="0" shapeId="0" xr:uid="{277D92F2-5C50-4128-A4C5-FDCB091C6004}">
      <text>
        <r>
          <rPr>
            <sz val="11"/>
            <color theme="1"/>
            <rFont val="Calibri"/>
            <family val="2"/>
            <scheme val="minor"/>
          </rPr>
          <t>Sum of SP that were added to the ongoing sprint (Production Support)</t>
        </r>
      </text>
    </comment>
    <comment ref="F26" authorId="0" shapeId="0" xr:uid="{DF52E59F-E098-4C09-9B25-8F0D424B2F99}">
      <text>
        <r>
          <rPr>
            <sz val="11"/>
            <color theme="1"/>
            <rFont val="Calibri"/>
            <family val="2"/>
            <scheme val="minor"/>
          </rPr>
          <t>Sum of SP from fully done tickets according the DoD</t>
        </r>
      </text>
    </comment>
    <comment ref="H26" authorId="0" shapeId="0" xr:uid="{7D5FD211-B2E6-4764-A360-C506A224B509}">
      <text>
        <r>
          <rPr>
            <sz val="11"/>
            <color theme="1"/>
            <rFont val="Calibri"/>
            <family val="2"/>
            <scheme val="minor"/>
          </rPr>
          <t>Avarage speed considering Done SP per sprint</t>
        </r>
      </text>
    </comment>
    <comment ref="I26" authorId="0" shapeId="0" xr:uid="{CD2F4098-D377-401A-B40D-1B71E1FD87AF}">
      <text>
        <r>
          <rPr>
            <sz val="11"/>
            <color theme="1"/>
            <rFont val="Calibri"/>
            <family val="2"/>
            <scheme val="minor"/>
          </rPr>
          <t>Total Story Points within the sprint including committed and adhered (Scope Creep)</t>
        </r>
      </text>
    </comment>
    <comment ref="J26" authorId="0" shapeId="0" xr:uid="{747BB077-A68D-4DDB-96C2-E7CD17F06A0F}">
      <text>
        <r>
          <rPr>
            <sz val="11"/>
            <color theme="1"/>
            <rFont val="Calibri"/>
            <family val="2"/>
            <scheme val="minor"/>
          </rPr>
          <t>Total SP that spill into the following sprint because were not finished. (If only testing is pending at least 2 SP are spilled)</t>
        </r>
      </text>
    </comment>
    <comment ref="K26" authorId="0" shapeId="0" xr:uid="{D7CC0E1C-454B-4334-ABA3-80C3F6CF40B6}">
      <text>
        <r>
          <rPr>
            <sz val="11"/>
            <color theme="1"/>
            <rFont val="Calibri"/>
            <family val="2"/>
            <scheme val="minor"/>
          </rPr>
          <t>Total CarryOver SP over Total committed</t>
        </r>
      </text>
    </comment>
    <comment ref="L26" authorId="0" shapeId="0" xr:uid="{55E85FF0-9A33-4A7E-ACCC-70497450C7A1}">
      <text>
        <r>
          <rPr>
            <sz val="11"/>
            <color theme="1"/>
            <rFont val="Calibri"/>
            <family val="2"/>
            <scheme val="minor"/>
          </rPr>
          <t>Gina Pardini:
Total SP completed in a sprint.</t>
        </r>
      </text>
    </comment>
    <comment ref="M26" authorId="0" shapeId="0" xr:uid="{64E7496E-93FA-445B-B96A-D222381D1428}">
      <text>
        <r>
          <rPr>
            <sz val="11"/>
            <color theme="1"/>
            <rFont val="Calibri"/>
            <family val="2"/>
            <scheme val="minor"/>
          </rPr>
          <t>Percentage of the workdays that were not Holidays or PTOs</t>
        </r>
      </text>
    </comment>
    <comment ref="N26" authorId="0" shapeId="0" xr:uid="{8B4096EC-4B20-4028-B73E-9C2754C7E962}">
      <text>
        <r>
          <rPr>
            <sz val="11"/>
            <color theme="1"/>
            <rFont val="Calibri"/>
            <family val="2"/>
            <scheme val="minor"/>
          </rPr>
          <t>How many Stories where done in the sprint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Gina Pardini</author>
  </authors>
  <commentList>
    <comment ref="X31" authorId="0" shapeId="0" xr:uid="{4B27B18C-08A5-4F87-8EBA-F7BC61600971}">
      <text>
        <r>
          <rPr>
            <sz val="11"/>
            <color theme="1"/>
            <rFont val="Calibri"/>
            <family val="2"/>
            <scheme val="minor"/>
          </rPr>
          <t>Gina Pardini:
Ago 31 - sep 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Gina Pardini</author>
  </authors>
  <commentList>
    <comment ref="J9" authorId="0" shapeId="0" xr:uid="{0A51824A-637C-4FD1-AD3B-11C78B7A5298}">
      <text>
        <r>
          <rPr>
            <sz val="11"/>
            <color theme="1"/>
            <rFont val="Calibri"/>
            <family val="2"/>
            <scheme val="minor"/>
          </rPr>
          <t>Gina Pardini:
this was a carry over in 0 points. it was pending testing on Josh Wood.</t>
        </r>
      </text>
    </comment>
    <comment ref="I10" authorId="0" shapeId="0" xr:uid="{2BE9B515-1733-49FC-818C-F5924CD17646}">
      <text>
        <r>
          <rPr>
            <sz val="11"/>
            <color theme="1"/>
            <rFont val="Calibri"/>
            <family val="2"/>
            <scheme val="minor"/>
          </rPr>
          <t>Gina Pardini:
13 points not to be considered in metrics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Gina Pardini</author>
  </authors>
  <commentList>
    <comment ref="I11" authorId="0" shapeId="0" xr:uid="{B44CA562-B216-4BB9-A8EC-F3D6AAFE49ED}">
      <text>
        <r>
          <rPr>
            <sz val="11"/>
            <color theme="1"/>
            <rFont val="Calibri"/>
            <family val="2"/>
            <scheme val="minor"/>
          </rPr>
          <t>Gina Pardini:
13 points not to be considered in metrics</t>
        </r>
      </text>
    </comment>
  </commentList>
</comments>
</file>

<file path=xl/sharedStrings.xml><?xml version="1.0" encoding="utf-8"?>
<sst xmlns="http://schemas.openxmlformats.org/spreadsheetml/2006/main" count="2022" uniqueCount="367">
  <si>
    <t>Sprint</t>
  </si>
  <si>
    <t>Sprint Start Date</t>
  </si>
  <si>
    <t>Sprint End Date</t>
  </si>
  <si>
    <t>Comittment</t>
  </si>
  <si>
    <t>Unplanned</t>
  </si>
  <si>
    <t>Done</t>
  </si>
  <si>
    <t>Done Percentage</t>
  </si>
  <si>
    <t>Velocity AVG</t>
  </si>
  <si>
    <t>Total Sprint SP</t>
  </si>
  <si>
    <t>Carry Over SP</t>
  </si>
  <si>
    <t>Carry Over Percetage</t>
  </si>
  <si>
    <t>Capacity SP</t>
  </si>
  <si>
    <t>Workday %</t>
  </si>
  <si>
    <t>User Stories Done</t>
  </si>
  <si>
    <t>Sprint 15</t>
  </si>
  <si>
    <t>Sprint 16</t>
  </si>
  <si>
    <t>Sprint 17</t>
  </si>
  <si>
    <t>Sprint 18</t>
  </si>
  <si>
    <t>Sprint 15 (Jul15-Jul28)</t>
  </si>
  <si>
    <t>Sprint 16 (Jul29-Ago11)</t>
  </si>
  <si>
    <t>Sprint 17 (Ago11-Ago25)</t>
  </si>
  <si>
    <t>Sprint 18 (Ago26-Sep8)</t>
  </si>
  <si>
    <t>Working days</t>
  </si>
  <si>
    <t>Capcity</t>
  </si>
  <si>
    <t>Location</t>
  </si>
  <si>
    <t>Developer/Admin</t>
  </si>
  <si>
    <t>Capacity per day</t>
  </si>
  <si>
    <t>Capacity per sprint</t>
  </si>
  <si>
    <t>Holidays</t>
  </si>
  <si>
    <t>PTO</t>
  </si>
  <si>
    <t>Working Days</t>
  </si>
  <si>
    <t>Completed</t>
  </si>
  <si>
    <t>AVG SP15</t>
  </si>
  <si>
    <t>AVG SP16</t>
  </si>
  <si>
    <t>Committed</t>
  </si>
  <si>
    <t>AVG SP17</t>
  </si>
  <si>
    <t>Capacity</t>
  </si>
  <si>
    <t>Comitted</t>
  </si>
  <si>
    <t>AVG SP18</t>
  </si>
  <si>
    <t>India</t>
  </si>
  <si>
    <t>Apala Sen</t>
  </si>
  <si>
    <t>Argentina</t>
  </si>
  <si>
    <t>Carlos Juarez</t>
  </si>
  <si>
    <t>Colombia</t>
  </si>
  <si>
    <t>Santiago Epalza</t>
  </si>
  <si>
    <t>Tomas Olivera</t>
  </si>
  <si>
    <t>Ataul Khalique</t>
  </si>
  <si>
    <t>Colmbia</t>
  </si>
  <si>
    <t>Sebastian Perez</t>
  </si>
  <si>
    <t xml:space="preserve">Manish Raj </t>
  </si>
  <si>
    <t>Mahika Agrawal</t>
  </si>
  <si>
    <t>Jacobo Salazar</t>
  </si>
  <si>
    <t>Chile</t>
  </si>
  <si>
    <t>Ignacio Toledo</t>
  </si>
  <si>
    <t>USA</t>
  </si>
  <si>
    <t>Victor Cabrera</t>
  </si>
  <si>
    <t>Type</t>
  </si>
  <si>
    <t>Date</t>
  </si>
  <si>
    <t>Day</t>
  </si>
  <si>
    <t>Impacts
Work Calendar</t>
  </si>
  <si>
    <t>Holiday</t>
  </si>
  <si>
    <t>Comments</t>
  </si>
  <si>
    <t>Country</t>
  </si>
  <si>
    <t>ID</t>
  </si>
  <si>
    <t>Thursday</t>
  </si>
  <si>
    <t>Yes</t>
  </si>
  <si>
    <t>New Year's Day</t>
  </si>
  <si>
    <t>CL</t>
  </si>
  <si>
    <t>Friday</t>
  </si>
  <si>
    <t>Good Friday</t>
  </si>
  <si>
    <t>Saturday</t>
  </si>
  <si>
    <t>No</t>
  </si>
  <si>
    <t>Easter Saturday</t>
  </si>
  <si>
    <t>Labour Day</t>
  </si>
  <si>
    <t>Glorias Navales day</t>
  </si>
  <si>
    <t>Sunday</t>
  </si>
  <si>
    <t>National Day of the Indigenous Peoples</t>
  </si>
  <si>
    <t>Monday</t>
  </si>
  <si>
    <t>Saint Peter and Saint Paul</t>
  </si>
  <si>
    <t>Day of the Virgin of Carmen</t>
  </si>
  <si>
    <t>Assumption of Mary</t>
  </si>
  <si>
    <t>Independence Day</t>
  </si>
  <si>
    <t>Day of the Glories of the Army</t>
  </si>
  <si>
    <t>Meeting of Two Worlds</t>
  </si>
  <si>
    <t>Day of the evangelical and protestant churches</t>
  </si>
  <si>
    <t>All Saints' Day</t>
  </si>
  <si>
    <t>Tuesday</t>
  </si>
  <si>
    <t>Day of the Immaculate Conception</t>
  </si>
  <si>
    <t>Christmas Day</t>
  </si>
  <si>
    <t>CO</t>
  </si>
  <si>
    <t>Epiphany</t>
  </si>
  <si>
    <t>Saint Joseph's Day</t>
  </si>
  <si>
    <t>Maundy Thursday</t>
  </si>
  <si>
    <t>Ascension Day</t>
  </si>
  <si>
    <t>Corpus Christi</t>
  </si>
  <si>
    <t>Sacred Heart of Jesus</t>
  </si>
  <si>
    <t>Day of the Virgin of Chiquinquirá</t>
  </si>
  <si>
    <t>Battle of Boyaca</t>
  </si>
  <si>
    <t>Colombus Day</t>
  </si>
  <si>
    <t>Independence of Cartagena</t>
  </si>
  <si>
    <t>New year's day</t>
  </si>
  <si>
    <t>AR</t>
  </si>
  <si>
    <t>Carnival</t>
  </si>
  <si>
    <t>National Day of Memory for Truth and Justice</t>
  </si>
  <si>
    <t>Day of the Veterans and Fallen of the Malvinas War</t>
  </si>
  <si>
    <t>Labor Day</t>
  </si>
  <si>
    <t>May Revolution</t>
  </si>
  <si>
    <t>Martín Miguel de Güemes' Day</t>
  </si>
  <si>
    <t>Commemoration of the death of General Manuel Belgrano</t>
  </si>
  <si>
    <t>Regional Holiday</t>
  </si>
  <si>
    <t>Holiday of Mendoza Province (depending on region)</t>
  </si>
  <si>
    <t>Mendoza</t>
  </si>
  <si>
    <t>Step to the Immortality of General José de San Martin</t>
  </si>
  <si>
    <t>Day of Respect for Cultural Diversity</t>
  </si>
  <si>
    <t>National Sovereignty Day</t>
  </si>
  <si>
    <t>Immaculate Conception of Mary</t>
  </si>
  <si>
    <t>New Year’s Day</t>
  </si>
  <si>
    <t>All Entities</t>
  </si>
  <si>
    <t>United States of America</t>
  </si>
  <si>
    <t>US</t>
  </si>
  <si>
    <t>Martin Luther King, Jr.´s Birthday</t>
  </si>
  <si>
    <t>not EU51</t>
  </si>
  <si>
    <t>President´s day</t>
  </si>
  <si>
    <t>Memorial Day</t>
  </si>
  <si>
    <t>Juneteenth National Ind. Day</t>
  </si>
  <si>
    <t>Columbus Day</t>
  </si>
  <si>
    <t>Thanksgiving Day</t>
  </si>
  <si>
    <t>Day After Thanksgiving Day</t>
  </si>
  <si>
    <t>New Year´s Day</t>
  </si>
  <si>
    <t>Mandatory</t>
  </si>
  <si>
    <t>IN</t>
  </si>
  <si>
    <t>Wednesday</t>
  </si>
  <si>
    <t>Makar Sankranti</t>
  </si>
  <si>
    <t>Optional</t>
  </si>
  <si>
    <t>Republic Day</t>
  </si>
  <si>
    <t>Dhulivandan</t>
  </si>
  <si>
    <t>Gudhipadwa</t>
  </si>
  <si>
    <t>Mahavir Jayanti</t>
  </si>
  <si>
    <t>Ambedkar Jayanti</t>
  </si>
  <si>
    <t>Bakari Eid</t>
  </si>
  <si>
    <t>Telangana State Formation Day</t>
  </si>
  <si>
    <t>Mandatory (Only for Hyderabad)</t>
  </si>
  <si>
    <t>Rath Yatra</t>
  </si>
  <si>
    <t>Raksha Bandhan</t>
  </si>
  <si>
    <t>Ganesh Chaturthi</t>
  </si>
  <si>
    <t>Ganesh Visarjan</t>
  </si>
  <si>
    <t>Gandhi Jayanti</t>
  </si>
  <si>
    <t>Dussehra</t>
  </si>
  <si>
    <t>Diwali (Dhanteras)</t>
  </si>
  <si>
    <t>Christmas</t>
  </si>
  <si>
    <t>Mexico</t>
  </si>
  <si>
    <t>MX</t>
  </si>
  <si>
    <t>Constitution Day</t>
  </si>
  <si>
    <t>Benito Juarez Birth Day</t>
  </si>
  <si>
    <t>Mother's Day</t>
  </si>
  <si>
    <t>Independece Day</t>
  </si>
  <si>
    <t>Death Day</t>
  </si>
  <si>
    <t>Mexican Revolution Day</t>
  </si>
  <si>
    <t>Work Item Type</t>
  </si>
  <si>
    <t>Title</t>
  </si>
  <si>
    <t>Developer</t>
  </si>
  <si>
    <t>Assigned To</t>
  </si>
  <si>
    <t>State</t>
  </si>
  <si>
    <t>Tags</t>
  </si>
  <si>
    <t>Created Date</t>
  </si>
  <si>
    <t>Story Points (Estimated)</t>
  </si>
  <si>
    <t>Carry Over</t>
  </si>
  <si>
    <t>Scope Creep Validation</t>
  </si>
  <si>
    <t>Commited</t>
  </si>
  <si>
    <t>Scope Creep Amount</t>
  </si>
  <si>
    <t>Story</t>
  </si>
  <si>
    <t>Validation: SCTASK0374791 | Legal/Compliance Request for Bulk PDF Generation of DSR Emails by Dealer and Date Range</t>
  </si>
  <si>
    <t>Ataul Khalique &lt;coniubj@jmfamily.com&gt;</t>
  </si>
  <si>
    <t>Spike: Investigate End-to-End Tracking for Platform Events</t>
  </si>
  <si>
    <t>Sebastian Perez &lt;conlbqr@jmfamily.com&gt;</t>
  </si>
  <si>
    <t>[Tech Debt] Spike - Failed Flow Interviews ( 1 of 3 )</t>
  </si>
  <si>
    <t>Mahika Agrawal &lt;conjkak@jmfamily.com&gt;</t>
  </si>
  <si>
    <t>[Info] [Vulnerability Fix] Connected app scopes for this org in file Dynatrace</t>
  </si>
  <si>
    <t>Manish Raj &lt;conuazh@jmfamily.com&gt;</t>
  </si>
  <si>
    <t>[Low] [Vulnerability Fix]  Spike - Public static resources may expose data</t>
  </si>
  <si>
    <t>Apala Sen &lt;conjzwj@jmfamily.com&gt;</t>
  </si>
  <si>
    <t>07/15/2026 | PROD Deployment | SF Platform- DigitSec and Incidents</t>
  </si>
  <si>
    <t>Admin; carry-over 26.14; ProdDeploy</t>
  </si>
  <si>
    <t>Spike: Salesforce Edge Network Mandatory Enablement Assessment (2026)</t>
  </si>
  <si>
    <t>Jacobo Salazar &lt;contytk@jmfamily.com&gt;</t>
  </si>
  <si>
    <t>Admin; carry-over 26.12; carry-over 26.13; carry-over 26.14</t>
  </si>
  <si>
    <t>[High*] [Vulnerability Fix] Cross Site Scripting in file pages/JMA_Reports_ACCT.page</t>
  </si>
  <si>
    <t>Josh Wood &lt;conadie@jmfamily.com&gt;</t>
  </si>
  <si>
    <t>carry-over 26.13; carry-over 26.14; Dev; HIGH</t>
  </si>
  <si>
    <t>Recurring: Salesforce KLO/Administration and Support ticket's Triage - Sprint 26.15</t>
  </si>
  <si>
    <t>N/A</t>
  </si>
  <si>
    <t>Phishing - Resistant MFA Enforcement for Privileged Users (Implementation)</t>
  </si>
  <si>
    <t>carry-over 26.13; carry-over 26.14; Dev</t>
  </si>
  <si>
    <t>[Zoom] - Key rotation to maintain seamless integration with SalesForce Lightning (UAT)</t>
  </si>
  <si>
    <t>Ignacio Toledo &lt;conmcxf@jmfamily.com&gt;</t>
  </si>
  <si>
    <t>Initial DevOps Setup: GitHub Org Configuration, IdP Mapping, and Salesforce Prod Integration - Version 2</t>
  </si>
  <si>
    <t>Victor Cabrera &lt;congize@jmfamily.com&gt;</t>
  </si>
  <si>
    <t>Commvault Phase 1 - Verify the Settings for Salesforce Production Integration for Commvault Backup (UAT/PROD)</t>
  </si>
  <si>
    <t>MIAW - Hypercare support</t>
  </si>
  <si>
    <t>Carlos Juarez &lt;conkqse@jmfamily.com&gt;</t>
  </si>
  <si>
    <t>Setting up Custom URL for DealerSource 2.0 in UAT</t>
  </si>
  <si>
    <t>Per asm RHT side of Dealer Portal is inoperative at this time</t>
  </si>
  <si>
    <t>Production - MIAW User Stories:</t>
  </si>
  <si>
    <t>felipe gonzalez &lt;confjhw@jmfamily.com&gt;</t>
  </si>
  <si>
    <t>UAT Deployments - Sprint 26.15</t>
  </si>
  <si>
    <t>Asbury Portal System Admins cannot Add Users</t>
  </si>
  <si>
    <t>Road ready hub receiving chats after hours</t>
  </si>
  <si>
    <t>ACR AccountShare - Record Insert Failed; Manual Action Needed</t>
  </si>
  <si>
    <t>07/22/2026 | ECHANGE | PROD Deployment | SF Platform</t>
  </si>
  <si>
    <t>Bug</t>
  </si>
  <si>
    <t xml:space="preserve">Cases removed from queue immediately upon assignment </t>
  </si>
  <si>
    <t>[Dynatrace App Synthetics] - Http monitor local outage for HTTP monitor JMA - Salesforce - IPs Check</t>
  </si>
  <si>
    <t>Speech Analytics Integration - Track Case Fields in OCS Process</t>
  </si>
  <si>
    <t>Tomas Olivera &lt;conkgku@jmfamily.com&gt;</t>
  </si>
  <si>
    <t>IT to IT request: Please assign to the appropriate group.</t>
  </si>
  <si>
    <t>Download statements issue still persist in Dealer Source</t>
  </si>
  <si>
    <t>Story Points</t>
  </si>
  <si>
    <t>SCTASK0389150 - DPM Contact Create Access Automation</t>
  </si>
  <si>
    <t>Carry Over Last Sprint (COLS)</t>
  </si>
  <si>
    <t>Flosum Summer 26 Release Analysis</t>
  </si>
  <si>
    <t>Admin; Dev</t>
  </si>
  <si>
    <t>Restrict DealerSource Tabs and Features for Independent Repair Facility Permission Group</t>
  </si>
  <si>
    <t>Habib Hasbun &lt;jmasgeo@jmfamily.com&gt;</t>
  </si>
  <si>
    <t>Admin; Blocked</t>
  </si>
  <si>
    <t>[Info] [Vulnerability Fix] Connected app scopes for this org in file Mulesoft Integration</t>
  </si>
  <si>
    <t>Admin; INFO</t>
  </si>
  <si>
    <t>[Tech Debt] [Critical] [Vulnerability Fix] Custom Code Exposed on the Internet in file Saleforce Objects</t>
  </si>
  <si>
    <t>CRITICAL</t>
  </si>
  <si>
    <t>07/29/2026 | PROD Deployment | SF Platform</t>
  </si>
  <si>
    <t>Admin; carry-over 26.15; ProdDeploy</t>
  </si>
  <si>
    <t>[Tech Debt] Fix JMA Seminar Process Flow Status Transition Logic</t>
  </si>
  <si>
    <t>Admin; carry-over 26.14; carry-over 26.15</t>
  </si>
  <si>
    <t>[Spike] Analyze SellingRelationship Date Synchronization Logic Between Salesforce Platform Events and Salesforce Backup View</t>
  </si>
  <si>
    <t>Dev; RELEVANT</t>
  </si>
  <si>
    <t>Recurring: Salesforce KLO/Administration and Support ticket's Triage - Sprint 26.16</t>
  </si>
  <si>
    <t>08/05/2026 | PROD Deployment | SF Platform</t>
  </si>
  <si>
    <t>Admin; ProdDeploy</t>
  </si>
  <si>
    <t>Dealer Source | Submit Claim menu is incorrectly displayed - Only UAT</t>
  </si>
  <si>
    <t>julieth barrera &lt;conqhvn@jmfamily.com&gt;</t>
  </si>
  <si>
    <t>OnlyUAT</t>
  </si>
  <si>
    <t>Speech Analytics Integration - Research Audit Report Logging for CallMiner Integration Access</t>
  </si>
  <si>
    <t>Dev</t>
  </si>
  <si>
    <t>Q3 - Phase 1 | Business Scope SF Release | Test Case Design</t>
  </si>
  <si>
    <t>GitHub Release Enablement - Unit Test Remediation - Dealer Source</t>
  </si>
  <si>
    <t>Account canonicals - AffiliationTerritoryCode, AffiliationRegionCore, and AffiliationManagerName not updating</t>
  </si>
  <si>
    <t>RELEVANT</t>
  </si>
  <si>
    <t>UAT Support &amp; Deployment Activities</t>
  </si>
  <si>
    <t>Dealer Weatlh Tool - Experience report logs</t>
  </si>
  <si>
    <t>Fix Apex compilation errors &amp; test-class failures across affected classes</t>
  </si>
  <si>
    <t>[Spike] End-to-End Payload Traceability and Attribute Validation for Salesforce-to-Synapse Account Canonicals Integration</t>
  </si>
  <si>
    <t>In Progress</t>
  </si>
  <si>
    <t>carry-over 26.15; carry-over 26.16; Dev; RELEVANT</t>
  </si>
  <si>
    <t>[Info] [Vulnerability Fix] Connected app scopes for this org in file Dealer Portal User</t>
  </si>
  <si>
    <t>Sakshi Vazarde &lt;conuumx@jmfamily.com&gt;</t>
  </si>
  <si>
    <t>Admin; Blocked; carry-over 26.14; carry-over 26.15; carry-over 26.16; INFO</t>
  </si>
  <si>
    <t>[Info] [Vulnerability Fix] Connected app scopes for this org in file Dealer User Info</t>
  </si>
  <si>
    <t>[Info] [Vulnerability Fix] Connected app scopes for this org in file SAP CPQ</t>
  </si>
  <si>
    <t>[Low] [Vulnerability Fix]  Public static resources may expose data</t>
  </si>
  <si>
    <t>carry-over 26.16; Dev; LOW</t>
  </si>
  <si>
    <t>[Low] [Vulnerability Fix] Third Party Applications are connected to an admin user</t>
  </si>
  <si>
    <t>Admin; carry-over 26.16; LOW</t>
  </si>
  <si>
    <t>08/19/2026 | PROD Deployment | SF Platform</t>
  </si>
  <si>
    <t>[Info] [Vulnerability Fix] Connected app scopes for this org in file JMSC Forum</t>
  </si>
  <si>
    <t>Admin; carry-over 26.16; INFO</t>
  </si>
  <si>
    <t>Create and Configure Salesforce Reference Sandbox for Integration Replication</t>
  </si>
  <si>
    <t>Ready for Sprint</t>
  </si>
  <si>
    <t>Commvault Phase 2 - Prepare Dedicated Salesforce Sandbox for Backup Validation</t>
  </si>
  <si>
    <t>Admin</t>
  </si>
  <si>
    <t>Fix API Error DSS - Authorize coupons in MTN Services</t>
  </si>
  <si>
    <t>Blocked; carry-over 26.15; Dev</t>
  </si>
  <si>
    <t>Recurring: Salesforce KLO/Administration and Support ticket's Triage - Sprint 26.17</t>
  </si>
  <si>
    <t>[SPIKE] Enhancement: Determine Workday -&gt; SalesConnect Integration to Capture Associate Data</t>
  </si>
  <si>
    <t>[Spike][Critical] AI-11 - Assess OAuth Migration for Named Credentials</t>
  </si>
  <si>
    <t>[Spike] Investigate and resolve JMA_DEALER_ROLE__C canonical discrepancies between Salesforce and Synapse</t>
  </si>
  <si>
    <t>IT Request: Forms Issue – Missing VF Box / Excel Data Not Populating</t>
  </si>
  <si>
    <t>Santiago Epalza &lt;conftst@jmfamily.com&gt;</t>
  </si>
  <si>
    <t>GitHub Release Enablement - Unit Test Remediation - Sales connect</t>
  </si>
  <si>
    <t>carry-over 26.16; Dev</t>
  </si>
  <si>
    <t>[Security &amp; Compliance] Destination System Assessment and Integration Design for Salesforce Security Log Backup Retention</t>
  </si>
  <si>
    <t>Reconcile test-failure count discrepancy between PROD and existing sandboxes</t>
  </si>
  <si>
    <t>Create one sandbox per product team (target 15–20 total) - Sales Enablement</t>
  </si>
  <si>
    <t>[Spike][Product Teams] Analyze Account type canonicals proposal and confirm readiness</t>
  </si>
  <si>
    <t>Gina Pardini &lt;conjsji@jmfamily.com&gt;</t>
  </si>
  <si>
    <t>BA; carry-over 26.16</t>
  </si>
  <si>
    <t>[Spike] Define SF Platform Sandbox Testing Strategy (Automation Coverage + Test Plan)</t>
  </si>
  <si>
    <t>Testing</t>
  </si>
  <si>
    <t>Cert Renewal for Mulesoft JWT jma-sf-mulesoft-jwt.jmfamily.com</t>
  </si>
  <si>
    <t>Admin; carry-over 26.16</t>
  </si>
  <si>
    <t>08/12/2026 | PROD Deployment | SF Platform</t>
  </si>
  <si>
    <t>Admin; carry-over 26.16; ProdDeploy</t>
  </si>
  <si>
    <t>DealerSource | Confirmation Pop-up Does Not Display the Action Button Correctly in Coupon Authorization</t>
  </si>
  <si>
    <t>CallMiner / Speech Analytics Integration – Sprint Support Activities</t>
  </si>
  <si>
    <t>CallMinner; Dev</t>
  </si>
  <si>
    <t>Create one sandbox per product team (target 15–20 total) - Digital Enablement</t>
  </si>
  <si>
    <t>Actual</t>
  </si>
  <si>
    <t>carry-over 26.17; Dev</t>
  </si>
  <si>
    <t>INC0633707 – Investigate and Resolve Territory Account Ownership Reassignment Issue (PROD)</t>
  </si>
  <si>
    <t>AccountTypeName Mapping – Current vs. Future State Analysis &amp; Impact Validation Preparation</t>
  </si>
  <si>
    <t>Analysis: Online Claims needs access to Messaging Session record Transcripts</t>
  </si>
  <si>
    <t>Dev; NotImplement</t>
  </si>
  <si>
    <t>Dealer Source | Modified Product Details are not getting updated through "Modify Product" button</t>
  </si>
  <si>
    <t>Removed</t>
  </si>
  <si>
    <t>[SPIKE] Beqom: Investigate Null Account Number Values Impacting Dealer Data Processing</t>
  </si>
  <si>
    <t>Admin; carry-over 26.17</t>
  </si>
  <si>
    <t>KB – Integration Certificate Renewal Process</t>
  </si>
  <si>
    <t>INC0645500 Unable to Access Salesforce DSS/UAT via Mobile App - UAT</t>
  </si>
  <si>
    <t>Salesforce CLI Error (AuthCodeExchangeError)</t>
  </si>
  <si>
    <t>Admin; carry-over 26.16; carry-over 26.17; LOW</t>
  </si>
  <si>
    <t>Admin; carry-over 26.17; INFO</t>
  </si>
  <si>
    <t>Dealer Source | Authorized button's label gets disappear after providing RO number on Contract Services</t>
  </si>
  <si>
    <t>carry-over 26.17</t>
  </si>
  <si>
    <t>INC0652217 Dynatrace HTTP Monitor Failure – JMA Salesforce IPs Check</t>
  </si>
  <si>
    <t>InfoSec Reporting Tracking in ADO - Part 1</t>
  </si>
  <si>
    <t>[Elements Cloud] Enterprise Architecture Approval &amp; Documentation</t>
  </si>
  <si>
    <t>GitHub Deployment Stabilization – Part 1</t>
  </si>
  <si>
    <t>Sandbox Process Documentation &amp; Training – Part 1</t>
  </si>
  <si>
    <t>Cribl / Salesforce Data Retention Assessment – Part 1</t>
  </si>
  <si>
    <t>General Analysis: Winter 2027 Salesforce release</t>
  </si>
  <si>
    <t>Committed to Sprint</t>
  </si>
  <si>
    <t>Task</t>
  </si>
  <si>
    <t>8. Execute pilot in at least two developer sandboxes</t>
  </si>
  <si>
    <t>In Backlog</t>
  </si>
  <si>
    <t>9. Stakeholder review and sign-off</t>
  </si>
  <si>
    <t>Analysis Sanboxes: Winter 2027 Salesforce release</t>
  </si>
  <si>
    <t>Trace and Validate Salesforce-to-Synapse Role Data</t>
  </si>
  <si>
    <t>Document Root Cause and Recommend Remediation</t>
  </si>
  <si>
    <t>Guided Tour Tooltip Appears Misaligned During New User Onboarding in Production</t>
  </si>
  <si>
    <t>[Destructive Change] Removal/Disable of JMSC Forum Connected App</t>
  </si>
  <si>
    <t>[Spike][High] AI-02 - Assess Connected App IP Restriction Enforcement</t>
  </si>
  <si>
    <t>carry-over 26.17; Dev; RELEVANT</t>
  </si>
  <si>
    <t>ServiceProviderRelationshipEvent records with null dealerFWSNumber</t>
  </si>
  <si>
    <t>[Spike][Critical] IAC-93 - Assess Requiring POST for Cross-Domain Sessions</t>
  </si>
  <si>
    <t>[Spike][Critical] IAC-116 - Assess COEP Enablement</t>
  </si>
  <si>
    <t>[DS] [AUG 26 - SEP 01] Regression Testing</t>
  </si>
  <si>
    <t>SP18</t>
  </si>
  <si>
    <t>[SC] [AUG 26 - SEP 01] Regression Testing</t>
  </si>
  <si>
    <t>Q3 | 2026 Recurrent Task: Regression testing</t>
  </si>
  <si>
    <t>[RRH] [AUG 26 - SEP 01] Regression Testing</t>
  </si>
  <si>
    <t>Testing - IT Request: Forms Issue – Missing VF Box / Excel Data Not Populating</t>
  </si>
  <si>
    <t>09/02/2026 | PROD Deployment | SF Platform</t>
  </si>
  <si>
    <t>[Recurrent][Sprint 26.18] Salesforce Deployment Support (UAT &amp; PROD)</t>
  </si>
  <si>
    <t>[Spike] Secure Endpoint Name Credentials Status in Production</t>
  </si>
  <si>
    <t>Task 1: Sales Enablement</t>
  </si>
  <si>
    <t>[Spike][Critical] IAC-94 - Assess Enforcing Login IP Ranges on Every Request</t>
  </si>
  <si>
    <t>Update STAGE Salesforce Account Records to Include Integration Fields for Testing</t>
  </si>
  <si>
    <t>[Spike][High] IAC-07 - Assess MFA Coverage for API Access</t>
  </si>
  <si>
    <t>[Spike] [Critical] IAC-86 - Assess Session Locking to Originating IP</t>
  </si>
  <si>
    <t>Task 4: BT Team</t>
  </si>
  <si>
    <t>Create one sandbox per product team (target 15–20 total) - BT Team</t>
  </si>
  <si>
    <t>[Vulnerability Fix] Remove OAuth Scopes – Dealer User Info</t>
  </si>
  <si>
    <t>Create one sandbox per product team (target 15–20 total) - OCS Claims</t>
  </si>
  <si>
    <t>Task 3: OCS Claims</t>
  </si>
  <si>
    <t>[Spike][Critical] IAC-147 - Assess Login IP Range Enforcement Strategy</t>
  </si>
  <si>
    <t>Recurring - Sprint 26.18: SNOW Incident Triage &amp; Management</t>
  </si>
  <si>
    <t>Recurring - Sprint 26.18: SNOW Request &amp; Task Management</t>
  </si>
  <si>
    <t>Recurring - Sprint 26.18: SNOW Dashboard Monitoring &amp; Operational Reporting</t>
  </si>
  <si>
    <t>InfoSec Reporting Tracking in ADO - Part 2</t>
  </si>
  <si>
    <t>[Spike][Critical] IAC-115 - Assess COOP Enablement</t>
  </si>
  <si>
    <t>[Spike] Analyze Secret Exposure Vulnerability – solutions-salesforceproxy-shared</t>
  </si>
  <si>
    <t>Sujit Sarkar &lt;coniunq@jmfamily.com&gt;</t>
  </si>
  <si>
    <t>Speech Analytics Integration - Establish an integration user - PROD</t>
  </si>
  <si>
    <t>Speech Analytics Integration - Create and Configure External Client App - PROD</t>
  </si>
  <si>
    <t>[Spike] Salesforce Event Retention – External Storage Integration Design</t>
  </si>
  <si>
    <t>Cribl / Salesforce Data Retention Assessment – Part 2</t>
  </si>
  <si>
    <t>[Elements Cloud] Enterprise Architecture Approval Follow-up</t>
  </si>
  <si>
    <t>[Spike] Analyze GitHub CI/CD Workflow Permissions Vulnerabilities – sf-platform</t>
  </si>
  <si>
    <t>Recurring: Salesforce KLO/Administration and Support ticket's Triage - Sprint 26.18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</si>
</sst>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</font>
    <font>
      <b/>
      <sz val="11"/>
      <color rgb="FFFFFFFF"/>
      <name val="Calibri"/>
      <charset val="1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CCCCCC"/>
      </left>
      <right style="thin">
        <color rgb="FFD9D9D9"/>
      </right>
      <top style="thin">
        <color rgb="FF000000"/>
      </top>
      <bottom style="thin">
        <color rgb="FFFFFFFF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CCCCCC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CCCCCC"/>
      </top>
      <bottom style="thin">
        <color rgb="FFEFEFEF"/>
      </bottom>
      <diagonal/>
    </border>
    <border>
      <left style="thin">
        <color rgb="FFCCCCCC"/>
      </left>
      <right style="thin">
        <color rgb="FFEFEFEF"/>
      </right>
      <top style="thin">
        <color rgb="FFCCCCCC"/>
      </top>
      <bottom style="thin">
        <color rgb="FFEFEFE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EFEFEF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FFFFFF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4" fillId="0" borderId="0" xfId="0" applyFont="1"/>
    <xf numFmtId="22" fontId="4" fillId="0" borderId="0" xfId="0" applyNumberFormat="1" applyFont="1"/>
    <xf numFmtId="0" fontId="5" fillId="0" borderId="0" xfId="0" applyFont="1"/>
    <xf numFmtId="0" fontId="6" fillId="0" borderId="0" xfId="0" applyFont="1"/>
    <xf numFmtId="22" fontId="0" fillId="0" borderId="0" xfId="0" applyNumberFormat="1"/>
    <xf numFmtId="22" fontId="5" fillId="0" borderId="0" xfId="0" applyNumberFormat="1" applyFont="1"/>
    <xf numFmtId="9" fontId="0" fillId="0" borderId="0" xfId="0" applyNumberFormat="1"/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9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5" fillId="3" borderId="1" xfId="0" applyFont="1" applyFill="1" applyBorder="1"/>
    <xf numFmtId="0" fontId="7" fillId="5" borderId="2" xfId="0" applyFont="1" applyFill="1" applyBorder="1" applyAlignment="1">
      <alignment readingOrder="1"/>
    </xf>
    <xf numFmtId="0" fontId="7" fillId="5" borderId="3" xfId="0" applyFont="1" applyFill="1" applyBorder="1" applyAlignment="1">
      <alignment readingOrder="1"/>
    </xf>
    <xf numFmtId="0" fontId="7" fillId="5" borderId="4" xfId="0" applyFont="1" applyFill="1" applyBorder="1" applyAlignment="1">
      <alignment readingOrder="1"/>
    </xf>
    <xf numFmtId="0" fontId="7" fillId="5" borderId="4" xfId="0" applyFont="1" applyFill="1" applyBorder="1" applyAlignment="1">
      <alignment wrapText="1" readingOrder="1"/>
    </xf>
    <xf numFmtId="0" fontId="7" fillId="5" borderId="5" xfId="0" applyFont="1" applyFill="1" applyBorder="1" applyAlignment="1">
      <alignment readingOrder="1"/>
    </xf>
    <xf numFmtId="0" fontId="7" fillId="5" borderId="6" xfId="0" applyFont="1" applyFill="1" applyBorder="1" applyAlignment="1">
      <alignment readingOrder="1"/>
    </xf>
    <xf numFmtId="0" fontId="8" fillId="6" borderId="7" xfId="0" applyFont="1" applyFill="1" applyBorder="1" applyAlignment="1">
      <alignment readingOrder="1"/>
    </xf>
    <xf numFmtId="14" fontId="9" fillId="7" borderId="8" xfId="0" applyNumberFormat="1" applyFont="1" applyFill="1" applyBorder="1" applyAlignment="1">
      <alignment readingOrder="1"/>
    </xf>
    <xf numFmtId="0" fontId="8" fillId="6" borderId="9" xfId="0" applyFont="1" applyFill="1" applyBorder="1" applyAlignment="1">
      <alignment readingOrder="1"/>
    </xf>
    <xf numFmtId="0" fontId="10" fillId="6" borderId="9" xfId="0" applyFont="1" applyFill="1" applyBorder="1" applyAlignment="1">
      <alignment readingOrder="1"/>
    </xf>
    <xf numFmtId="0" fontId="8" fillId="6" borderId="10" xfId="0" applyFont="1" applyFill="1" applyBorder="1" applyAlignment="1">
      <alignment readingOrder="1"/>
    </xf>
    <xf numFmtId="0" fontId="8" fillId="0" borderId="7" xfId="0" applyFont="1" applyBorder="1" applyAlignment="1">
      <alignment readingOrder="1"/>
    </xf>
    <xf numFmtId="0" fontId="8" fillId="0" borderId="9" xfId="0" applyFont="1" applyBorder="1" applyAlignment="1">
      <alignment readingOrder="1"/>
    </xf>
    <xf numFmtId="0" fontId="10" fillId="0" borderId="9" xfId="0" applyFont="1" applyBorder="1" applyAlignment="1">
      <alignment readingOrder="1"/>
    </xf>
    <xf numFmtId="0" fontId="8" fillId="0" borderId="11" xfId="0" applyFont="1" applyBorder="1" applyAlignment="1">
      <alignment readingOrder="1"/>
    </xf>
    <xf numFmtId="14" fontId="9" fillId="7" borderId="12" xfId="0" applyNumberFormat="1" applyFont="1" applyFill="1" applyBorder="1" applyAlignment="1">
      <alignment readingOrder="1"/>
    </xf>
    <xf numFmtId="0" fontId="8" fillId="6" borderId="12" xfId="0" applyFont="1" applyFill="1" applyBorder="1" applyAlignment="1">
      <alignment readingOrder="1"/>
    </xf>
    <xf numFmtId="0" fontId="8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8" fillId="6" borderId="13" xfId="0" applyFont="1" applyFill="1" applyBorder="1" applyAlignment="1">
      <alignment readingOrder="1"/>
    </xf>
    <xf numFmtId="0" fontId="8" fillId="6" borderId="2" xfId="0" applyFont="1" applyFill="1" applyBorder="1" applyAlignment="1">
      <alignment readingOrder="1"/>
    </xf>
    <xf numFmtId="14" fontId="9" fillId="7" borderId="3" xfId="0" applyNumberFormat="1" applyFont="1" applyFill="1" applyBorder="1" applyAlignment="1">
      <alignment readingOrder="1"/>
    </xf>
    <xf numFmtId="0" fontId="8" fillId="6" borderId="4" xfId="0" applyFont="1" applyFill="1" applyBorder="1" applyAlignment="1">
      <alignment readingOrder="1"/>
    </xf>
    <xf numFmtId="0" fontId="10" fillId="6" borderId="4" xfId="0" applyFont="1" applyFill="1" applyBorder="1" applyAlignment="1">
      <alignment readingOrder="1"/>
    </xf>
    <xf numFmtId="0" fontId="8" fillId="6" borderId="6" xfId="0" applyFont="1" applyFill="1" applyBorder="1" applyAlignment="1">
      <alignment readingOrder="1"/>
    </xf>
    <xf numFmtId="0" fontId="8" fillId="6" borderId="14" xfId="0" applyFont="1" applyFill="1" applyBorder="1" applyAlignment="1">
      <alignment readingOrder="1"/>
    </xf>
    <xf numFmtId="14" fontId="9" fillId="7" borderId="15" xfId="0" applyNumberFormat="1" applyFont="1" applyFill="1" applyBorder="1" applyAlignment="1">
      <alignment readingOrder="1"/>
    </xf>
    <xf numFmtId="0" fontId="8" fillId="6" borderId="15" xfId="0" applyFont="1" applyFill="1" applyBorder="1" applyAlignment="1">
      <alignment readingOrder="1"/>
    </xf>
    <xf numFmtId="0" fontId="10" fillId="6" borderId="15" xfId="0" applyFont="1" applyFill="1" applyBorder="1" applyAlignment="1">
      <alignment readingOrder="1"/>
    </xf>
    <xf numFmtId="0" fontId="8" fillId="6" borderId="16" xfId="0" applyFont="1" applyFill="1" applyBorder="1" applyAlignment="1">
      <alignment readingOrder="1"/>
    </xf>
    <xf numFmtId="0" fontId="8" fillId="6" borderId="17" xfId="0" applyFont="1" applyFill="1" applyBorder="1" applyAlignment="1">
      <alignment readingOrder="1"/>
    </xf>
    <xf numFmtId="14" fontId="9" fillId="7" borderId="18" xfId="0" applyNumberFormat="1" applyFont="1" applyFill="1" applyBorder="1" applyAlignment="1">
      <alignment readingOrder="1"/>
    </xf>
    <xf numFmtId="0" fontId="8" fillId="6" borderId="18" xfId="0" applyFont="1" applyFill="1" applyBorder="1" applyAlignment="1">
      <alignment readingOrder="1"/>
    </xf>
    <xf numFmtId="0" fontId="10" fillId="6" borderId="18" xfId="0" applyFont="1" applyFill="1" applyBorder="1" applyAlignment="1">
      <alignment readingOrder="1"/>
    </xf>
    <xf numFmtId="0" fontId="8" fillId="6" borderId="19" xfId="0" applyFont="1" applyFill="1" applyBorder="1" applyAlignment="1">
      <alignment readingOrder="1"/>
    </xf>
    <xf numFmtId="0" fontId="8" fillId="6" borderId="20" xfId="0" applyFont="1" applyFill="1" applyBorder="1" applyAlignment="1">
      <alignment readingOrder="1"/>
    </xf>
    <xf numFmtId="14" fontId="9" fillId="7" borderId="21" xfId="0" applyNumberFormat="1" applyFont="1" applyFill="1" applyBorder="1" applyAlignment="1">
      <alignment readingOrder="1"/>
    </xf>
    <xf numFmtId="0" fontId="8" fillId="6" borderId="21" xfId="0" applyFont="1" applyFill="1" applyBorder="1" applyAlignment="1">
      <alignment readingOrder="1"/>
    </xf>
    <xf numFmtId="0" fontId="10" fillId="6" borderId="21" xfId="0" applyFont="1" applyFill="1" applyBorder="1" applyAlignment="1">
      <alignment readingOrder="1"/>
    </xf>
    <xf numFmtId="0" fontId="8" fillId="6" borderId="9" xfId="0" applyFont="1" applyFill="1" applyBorder="1" applyAlignment="1">
      <alignment wrapText="1" readingOrder="1"/>
    </xf>
    <xf numFmtId="0" fontId="8" fillId="6" borderId="11" xfId="0" applyFont="1" applyFill="1" applyBorder="1" applyAlignment="1">
      <alignment readingOrder="1"/>
    </xf>
    <xf numFmtId="0" fontId="8" fillId="6" borderId="12" xfId="0" applyFont="1" applyFill="1" applyBorder="1" applyAlignment="1">
      <alignment wrapText="1" readingOrder="1"/>
    </xf>
    <xf numFmtId="0" fontId="8" fillId="6" borderId="22" xfId="0" applyFont="1" applyFill="1" applyBorder="1" applyAlignment="1">
      <alignment readingOrder="1"/>
    </xf>
    <xf numFmtId="14" fontId="9" fillId="7" borderId="23" xfId="0" applyNumberFormat="1" applyFont="1" applyFill="1" applyBorder="1" applyAlignment="1">
      <alignment readingOrder="1"/>
    </xf>
    <xf numFmtId="0" fontId="11" fillId="6" borderId="23" xfId="0" applyFont="1" applyFill="1" applyBorder="1" applyAlignment="1">
      <alignment readingOrder="1"/>
    </xf>
    <xf numFmtId="0" fontId="9" fillId="6" borderId="23" xfId="0" applyFont="1" applyFill="1" applyBorder="1" applyAlignment="1">
      <alignment readingOrder="1"/>
    </xf>
    <xf numFmtId="0" fontId="10" fillId="6" borderId="24" xfId="0" applyFont="1" applyFill="1" applyBorder="1" applyAlignment="1">
      <alignment readingOrder="1"/>
    </xf>
    <xf numFmtId="0" fontId="8" fillId="6" borderId="25" xfId="0" applyFont="1" applyFill="1" applyBorder="1" applyAlignment="1">
      <alignment readingOrder="1"/>
    </xf>
    <xf numFmtId="14" fontId="9" fillId="7" borderId="26" xfId="0" applyNumberFormat="1" applyFont="1" applyFill="1" applyBorder="1" applyAlignment="1">
      <alignment readingOrder="1"/>
    </xf>
    <xf numFmtId="0" fontId="11" fillId="6" borderId="26" xfId="0" applyFont="1" applyFill="1" applyBorder="1" applyAlignment="1">
      <alignment readingOrder="1"/>
    </xf>
    <xf numFmtId="0" fontId="9" fillId="6" borderId="26" xfId="0" applyFont="1" applyFill="1" applyBorder="1" applyAlignment="1">
      <alignment readingOrder="1"/>
    </xf>
    <xf numFmtId="0" fontId="10" fillId="6" borderId="27" xfId="0" applyFont="1" applyFill="1" applyBorder="1" applyAlignment="1">
      <alignment readingOrder="1"/>
    </xf>
    <xf numFmtId="0" fontId="9" fillId="6" borderId="26" xfId="0" applyFont="1" applyFill="1" applyBorder="1" applyAlignment="1">
      <alignment wrapText="1" readingOrder="1"/>
    </xf>
    <xf numFmtId="0" fontId="8" fillId="6" borderId="28" xfId="0" applyFont="1" applyFill="1" applyBorder="1" applyAlignment="1">
      <alignment readingOrder="1"/>
    </xf>
    <xf numFmtId="14" fontId="9" fillId="7" borderId="29" xfId="0" applyNumberFormat="1" applyFont="1" applyFill="1" applyBorder="1" applyAlignment="1">
      <alignment readingOrder="1"/>
    </xf>
    <xf numFmtId="0" fontId="11" fillId="6" borderId="29" xfId="0" applyFont="1" applyFill="1" applyBorder="1" applyAlignment="1">
      <alignment readingOrder="1"/>
    </xf>
    <xf numFmtId="0" fontId="9" fillId="6" borderId="29" xfId="0" applyFont="1" applyFill="1" applyBorder="1" applyAlignment="1">
      <alignment readingOrder="1"/>
    </xf>
    <xf numFmtId="0" fontId="9" fillId="6" borderId="29" xfId="0" applyFont="1" applyFill="1" applyBorder="1" applyAlignment="1">
      <alignment wrapText="1" readingOrder="1"/>
    </xf>
    <xf numFmtId="0" fontId="10" fillId="6" borderId="13" xfId="0" applyFont="1" applyFill="1" applyBorder="1" applyAlignment="1">
      <alignment readingOrder="1"/>
    </xf>
    <xf numFmtId="0" fontId="10" fillId="0" borderId="6" xfId="0" applyFont="1" applyBorder="1" applyAlignment="1">
      <alignment readingOrder="1"/>
    </xf>
    <xf numFmtId="0" fontId="10" fillId="0" borderId="10" xfId="0" applyFont="1" applyBorder="1" applyAlignment="1">
      <alignment readingOrder="1"/>
    </xf>
    <xf numFmtId="0" fontId="10" fillId="0" borderId="30" xfId="0" applyFont="1" applyBorder="1" applyAlignment="1">
      <alignment readingOrder="1"/>
    </xf>
    <xf numFmtId="0" fontId="10" fillId="6" borderId="12" xfId="0" applyFont="1" applyFill="1" applyBorder="1" applyAlignment="1">
      <alignment readingOrder="1"/>
    </xf>
    <xf numFmtId="0" fontId="10" fillId="0" borderId="13" xfId="0" applyFont="1" applyBorder="1" applyAlignment="1">
      <alignment readingOrder="1"/>
    </xf>
    <xf numFmtId="0" fontId="2" fillId="0" borderId="0" xfId="0" applyFont="1"/>
    <xf numFmtId="1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 Platform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Velocity!$D$26</c:f>
              <c:strCache>
                <c:ptCount val="1"/>
                <c:pt idx="0">
                  <c:v>Comittment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Velocity!$A$27:$A$30</c:f>
              <c:strCache>
                <c:ptCount val="4"/>
                <c:pt idx="0">
                  <c:v>Sprint 15</c:v>
                </c:pt>
                <c:pt idx="1">
                  <c:v>Sprint 16</c:v>
                </c:pt>
                <c:pt idx="2">
                  <c:v>Sprint 17</c:v>
                </c:pt>
                <c:pt idx="3">
                  <c:v>Sprint 18</c:v>
                </c:pt>
              </c:strCache>
            </c:strRef>
          </c:cat>
          <c:val>
            <c:numRef>
              <c:f>Velocity!$D$27:$D$30</c:f>
              <c:numCache>
                <c:formatCode>General</c:formatCode>
                <c:ptCount val="4"/>
                <c:pt idx="0">
                  <c:v>47</c:v>
                </c:pt>
                <c:pt idx="1">
                  <c:v>62</c:v>
                </c:pt>
                <c:pt idx="2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823-4FE9-AC8F-EB1128C3C22F}"/>
            </c:ext>
          </c:extLst>
        </c:ser>
        <c:ser>
          <c:idx val="1"/>
          <c:order val="1"/>
          <c:tx>
            <c:strRef>
              <c:f>Velocity!$E$26</c:f>
              <c:strCache>
                <c:ptCount val="1"/>
                <c:pt idx="0">
                  <c:v>Unplanned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Velocity!$A$27:$A$30</c:f>
              <c:strCache>
                <c:ptCount val="4"/>
                <c:pt idx="0">
                  <c:v>Sprint 15</c:v>
                </c:pt>
                <c:pt idx="1">
                  <c:v>Sprint 16</c:v>
                </c:pt>
                <c:pt idx="2">
                  <c:v>Sprint 17</c:v>
                </c:pt>
                <c:pt idx="3">
                  <c:v>Sprint 18</c:v>
                </c:pt>
              </c:strCache>
            </c:strRef>
          </c:cat>
          <c:val>
            <c:numRef>
              <c:f>Velocity!$E$27:$E$30</c:f>
              <c:numCache>
                <c:formatCode>General</c:formatCode>
                <c:ptCount val="4"/>
                <c:pt idx="0">
                  <c:v>35</c:v>
                </c:pt>
                <c:pt idx="1">
                  <c:v>12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823-4FE9-AC8F-EB1128C3C22F}"/>
            </c:ext>
          </c:extLst>
        </c:ser>
        <c:ser>
          <c:idx val="2"/>
          <c:order val="2"/>
          <c:tx>
            <c:strRef>
              <c:f>Velocity!$F$26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Velocity!$A$27:$A$30</c:f>
              <c:strCache>
                <c:ptCount val="4"/>
                <c:pt idx="0">
                  <c:v>Sprint 15</c:v>
                </c:pt>
                <c:pt idx="1">
                  <c:v>Sprint 16</c:v>
                </c:pt>
                <c:pt idx="2">
                  <c:v>Sprint 17</c:v>
                </c:pt>
                <c:pt idx="3">
                  <c:v>Sprint 18</c:v>
                </c:pt>
              </c:strCache>
            </c:strRef>
          </c:cat>
          <c:val>
            <c:numRef>
              <c:f>Velocity!$F$27:$F$30</c:f>
              <c:numCache>
                <c:formatCode>General</c:formatCode>
                <c:ptCount val="4"/>
                <c:pt idx="0">
                  <c:v>77</c:v>
                </c:pt>
                <c:pt idx="1">
                  <c:v>69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823-4FE9-AC8F-EB1128C3C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162056"/>
        <c:axId val="1185421319"/>
      </c:barChart>
      <c:lineChart>
        <c:grouping val="standard"/>
        <c:varyColors val="0"/>
        <c:ser>
          <c:idx val="3"/>
          <c:order val="3"/>
          <c:tx>
            <c:v>Velocity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Velocity!$A$27:$A$30</c:f>
              <c:strCache>
                <c:ptCount val="4"/>
                <c:pt idx="0">
                  <c:v>Sprint 15</c:v>
                </c:pt>
                <c:pt idx="1">
                  <c:v>Sprint 16</c:v>
                </c:pt>
                <c:pt idx="2">
                  <c:v>Sprint 17</c:v>
                </c:pt>
                <c:pt idx="3">
                  <c:v>Sprint 18</c:v>
                </c:pt>
              </c:strCache>
            </c:strRef>
          </c:cat>
          <c:val>
            <c:numRef>
              <c:f>Velocity!$H$27:$H$30</c:f>
              <c:numCache>
                <c:formatCode>0</c:formatCode>
                <c:ptCount val="4"/>
                <c:pt idx="0">
                  <c:v>77</c:v>
                </c:pt>
                <c:pt idx="1">
                  <c:v>73</c:v>
                </c:pt>
                <c:pt idx="2">
                  <c:v>93.666666666666671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823-4FE9-AC8F-EB1128C3C22F}"/>
            </c:ext>
          </c:extLst>
        </c:ser>
        <c:ser>
          <c:idx val="4"/>
          <c:order val="4"/>
          <c:tx>
            <c:v>Capacity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Velocity!$A$27:$A$30</c:f>
              <c:strCache>
                <c:ptCount val="4"/>
                <c:pt idx="0">
                  <c:v>Sprint 15</c:v>
                </c:pt>
                <c:pt idx="1">
                  <c:v>Sprint 16</c:v>
                </c:pt>
                <c:pt idx="2">
                  <c:v>Sprint 17</c:v>
                </c:pt>
                <c:pt idx="3">
                  <c:v>Sprint 18</c:v>
                </c:pt>
              </c:strCache>
            </c:strRef>
          </c:cat>
          <c:val>
            <c:numRef>
              <c:f>Velocity!$L$27:$L$30</c:f>
              <c:numCache>
                <c:formatCode>General</c:formatCode>
                <c:ptCount val="4"/>
                <c:pt idx="0">
                  <c:v>80</c:v>
                </c:pt>
                <c:pt idx="1">
                  <c:v>72</c:v>
                </c:pt>
                <c:pt idx="2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823-4FE9-AC8F-EB1128C3C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162056"/>
        <c:axId val="1185421319"/>
      </c:lineChart>
      <c:catAx>
        <c:axId val="165216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21319"/>
        <c:crosses val="autoZero"/>
        <c:auto val="1"/>
        <c:lblAlgn val="ctr"/>
        <c:lblOffset val="100"/>
        <c:noMultiLvlLbl val="0"/>
      </c:catAx>
      <c:valAx>
        <c:axId val="1185421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6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Capacity!E20</c:f>
              <c:strCache>
                <c:ptCount val="1"/>
                <c:pt idx="0">
                  <c:v>Capacity per 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Capacity!$D$21:$D$31</c:f>
              <c:strCache>
                <c:ptCount val="11"/>
                <c:pt idx="0">
                  <c:v>Apala Sen</c:v>
                </c:pt>
                <c:pt idx="1">
                  <c:v>Carlos Juarez</c:v>
                </c:pt>
                <c:pt idx="2">
                  <c:v>Santiago Epalza</c:v>
                </c:pt>
                <c:pt idx="3">
                  <c:v>Tomas Olivera</c:v>
                </c:pt>
                <c:pt idx="4">
                  <c:v>Ataul Khalique</c:v>
                </c:pt>
                <c:pt idx="5">
                  <c:v>Sebastian Perez</c:v>
                </c:pt>
                <c:pt idx="6">
                  <c:v>Manish Raj </c:v>
                </c:pt>
                <c:pt idx="7">
                  <c:v>Mahika Agrawal</c:v>
                </c:pt>
                <c:pt idx="8">
                  <c:v>Jacobo Salazar</c:v>
                </c:pt>
                <c:pt idx="9">
                  <c:v>Ignacio Toledo</c:v>
                </c:pt>
                <c:pt idx="10">
                  <c:v>Victor Cabrera</c:v>
                </c:pt>
              </c:strCache>
            </c:strRef>
          </c:cat>
          <c:val>
            <c:numRef>
              <c:f>Capacity!$E$21:$E$31</c:f>
              <c:numCache>
                <c:formatCode>0.0</c:formatCode>
                <c:ptCount val="11"/>
                <c:pt idx="0">
                  <c:v>0.76111111111111118</c:v>
                </c:pt>
                <c:pt idx="1">
                  <c:v>0.8</c:v>
                </c:pt>
                <c:pt idx="2">
                  <c:v>0</c:v>
                </c:pt>
                <c:pt idx="3">
                  <c:v>0.26666666666666666</c:v>
                </c:pt>
                <c:pt idx="4">
                  <c:v>0.41666666666666663</c:v>
                </c:pt>
                <c:pt idx="5">
                  <c:v>0.96666666666666667</c:v>
                </c:pt>
                <c:pt idx="6">
                  <c:v>1.3888888888888888</c:v>
                </c:pt>
                <c:pt idx="7">
                  <c:v>0.87222222222222223</c:v>
                </c:pt>
                <c:pt idx="8">
                  <c:v>0.88888888888888884</c:v>
                </c:pt>
                <c:pt idx="9">
                  <c:v>0.64444444444444438</c:v>
                </c:pt>
                <c:pt idx="1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C42BEF8-5099-46A6-8087-4E219F86A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96556039"/>
        <c:axId val="296579079"/>
      </c:barChart>
      <c:catAx>
        <c:axId val="296556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Developer/Admin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79079"/>
        <c:crosses val="autoZero"/>
        <c:auto val="1"/>
        <c:lblAlgn val="ctr"/>
        <c:lblOffset val="100"/>
        <c:noMultiLvlLbl val="0"/>
      </c:catAx>
      <c:valAx>
        <c:axId val="296579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Capacity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56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</xdr:rowOff>
    </xdr:from>
    <xdr:to>
      <xdr:col>12</xdr:col>
      <xdr:colOff>809625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37D30A-BAD8-09CA-0773-94FAD48823AC}"/>
            </a:ext>
            <a:ext uri="{147F2762-F138-4A5C-976F-8EAC2B608ADB}">
              <a16:predDERef xmlns:a16="http://schemas.microsoft.com/office/drawing/2014/main" pred="{17F9BCAB-A2BF-C44B-53B2-3353C9E18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47625</xdr:rowOff>
    </xdr:from>
    <xdr:to>
      <xdr:col>5</xdr:col>
      <xdr:colOff>1133475</xdr:colOff>
      <xdr:row>17</xdr:row>
      <xdr:rowOff>123825</xdr:rowOff>
    </xdr:to>
    <xdr:graphicFrame macro="">
      <xdr:nvGraphicFramePr>
        <xdr:cNvPr id="3" name="Chart 2" descr="Chart type: Clustered Bar. 'AVG Capacity per day'&#10;&#10;Description automatically generated">
          <a:extLst>
            <a:ext uri="{FF2B5EF4-FFF2-40B4-BE49-F238E27FC236}">
              <a16:creationId xmlns:a16="http://schemas.microsoft.com/office/drawing/2014/main" id="{C0F786A3-41CE-C041-0FB3-EDE364E0190B}"/>
            </a:ext>
            <a:ext uri="{147F2762-F138-4A5C-976F-8EAC2B608ADB}">
              <a16:predDERef xmlns:a16="http://schemas.microsoft.com/office/drawing/2014/main" pred="{F51F8A30-2B1B-A5B0-EA60-C790414C4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6:N30"/>
  <sheetViews>
    <sheetView tabSelected="1" workbookViewId="0">
      <pane ySplit="26" topLeftCell="A27" activePane="bottomLeft" state="frozen"/>
      <selection pane="bottomLeft" activeCell="G29" sqref="G27:G29"/>
    </sheetView>
  </sheetViews>
  <sheetFormatPr defaultRowHeight="15"/>
  <cols>
    <col min="2" max="3" width="16" bestFit="1" customWidth="1"/>
    <col min="4" max="8" width="16" customWidth="1"/>
    <col min="9" max="10" width="17.7109375" customWidth="1"/>
    <col min="11" max="11" width="20.28515625" bestFit="1" customWidth="1"/>
    <col min="12" max="12" width="18" customWidth="1"/>
    <col min="13" max="13" width="13.7109375" customWidth="1"/>
    <col min="14" max="14" width="12.7109375" bestFit="1" customWidth="1"/>
  </cols>
  <sheetData>
    <row r="26" spans="1:14">
      <c r="A26" s="3" t="s">
        <v>0</v>
      </c>
      <c r="B26" s="5" t="s">
        <v>1</v>
      </c>
      <c r="C26" s="5" t="s">
        <v>2</v>
      </c>
      <c r="D26" s="5" t="s">
        <v>3</v>
      </c>
      <c r="E26" s="3" t="s">
        <v>4</v>
      </c>
      <c r="F26" s="5" t="s">
        <v>5</v>
      </c>
      <c r="G26" s="5" t="s">
        <v>6</v>
      </c>
      <c r="H26" s="3" t="s">
        <v>7</v>
      </c>
      <c r="I26" s="3" t="s">
        <v>8</v>
      </c>
      <c r="J26" s="3" t="s">
        <v>9</v>
      </c>
      <c r="K26" s="3" t="s">
        <v>10</v>
      </c>
      <c r="L26" s="3" t="s">
        <v>11</v>
      </c>
      <c r="M26" s="3" t="s">
        <v>12</v>
      </c>
      <c r="N26" s="3" t="s">
        <v>13</v>
      </c>
    </row>
    <row r="27" spans="1:14">
      <c r="A27" t="s">
        <v>14</v>
      </c>
      <c r="B27" s="2">
        <v>46218</v>
      </c>
      <c r="C27" s="2">
        <v>46231.999305555553</v>
      </c>
      <c r="D27">
        <f>SUM('Sprint 15 Jul15-Jul28'!N:N)</f>
        <v>47</v>
      </c>
      <c r="E27">
        <f>SUM('Sprint 15 Jul15-Jul28'!O:O)</f>
        <v>35</v>
      </c>
      <c r="F27">
        <f>SUM('Sprint 15 Jul15-Jul28'!P:P)</f>
        <v>77</v>
      </c>
      <c r="G27" s="14">
        <f>F27/D27</f>
        <v>1.6382978723404256</v>
      </c>
      <c r="H27" s="93">
        <f>AVERAGE($F$27:F27)</f>
        <v>77</v>
      </c>
      <c r="I27">
        <f>SUM('Sprint 15 Jul15-Jul28'!I:I)</f>
        <v>82</v>
      </c>
      <c r="J27">
        <f>SUM('Sprint 15 Jul15-Jul28'!J:J)</f>
        <v>2</v>
      </c>
      <c r="K27" s="14">
        <f>J27/D27</f>
        <v>4.2553191489361701E-2</v>
      </c>
      <c r="L27">
        <f>I27-J27</f>
        <v>80</v>
      </c>
      <c r="M27" s="14">
        <f>SUM(Capacity!I21:I31)/SUM(Capacity!A21:A31)</f>
        <v>0.91818181818181821</v>
      </c>
    </row>
    <row r="28" spans="1:14">
      <c r="A28" t="s">
        <v>15</v>
      </c>
      <c r="B28" s="2">
        <v>46232</v>
      </c>
      <c r="C28" s="2">
        <v>46245.999305555553</v>
      </c>
      <c r="D28">
        <f>SUM('Sprint 16 Jul29-Ago11'!N:N)</f>
        <v>62</v>
      </c>
      <c r="E28">
        <f>SUM('Sprint 16 Jul29-Ago11'!O:O)</f>
        <v>12</v>
      </c>
      <c r="F28">
        <f>SUM('Sprint 16 Jul29-Ago11'!P:P)</f>
        <v>69</v>
      </c>
      <c r="G28" s="14">
        <f>F28/D28</f>
        <v>1.1129032258064515</v>
      </c>
      <c r="H28" s="93">
        <f>AVERAGE($F$27:F28)</f>
        <v>73</v>
      </c>
      <c r="I28">
        <f>SUM('Sprint 16 Jul29-Ago11'!I:I)</f>
        <v>74</v>
      </c>
      <c r="J28">
        <f>SUM('Sprint 16 Jul29-Ago11'!J:J)</f>
        <v>2</v>
      </c>
      <c r="K28" s="14">
        <f>J28/D28</f>
        <v>3.2258064516129031E-2</v>
      </c>
      <c r="L28">
        <f>I28-J28</f>
        <v>72</v>
      </c>
      <c r="M28" s="14">
        <f>SUM(Capacity!S21:S31)/SUM(Capacity!A21:A31)</f>
        <v>0.84545454545454546</v>
      </c>
    </row>
    <row r="29" spans="1:14">
      <c r="A29" t="s">
        <v>16</v>
      </c>
      <c r="B29" s="2">
        <v>46246</v>
      </c>
      <c r="C29" s="2">
        <v>46259.999305555553</v>
      </c>
      <c r="D29">
        <f>SUM('Sprint 17 Ago12-Ago25'!N:N)</f>
        <v>143</v>
      </c>
      <c r="E29">
        <f>SUM('Sprint 17 Ago12-Ago25'!O:O)</f>
        <v>32</v>
      </c>
      <c r="F29">
        <f>SUM('Sprint 17 Ago12-Ago25'!P:P)</f>
        <v>135</v>
      </c>
      <c r="G29" s="14">
        <f>F29/D29</f>
        <v>0.94405594405594406</v>
      </c>
      <c r="H29" s="93">
        <f>AVERAGE($F$27:F29)</f>
        <v>93.666666666666671</v>
      </c>
      <c r="I29">
        <f>SUM('Sprint 17 Ago12-Ago25'!I:I)</f>
        <v>162</v>
      </c>
      <c r="J29">
        <f>SUM('Sprint 17 Ago12-Ago25'!J:J)</f>
        <v>18</v>
      </c>
      <c r="K29" s="14">
        <f>J29/D29</f>
        <v>0.12587412587412589</v>
      </c>
      <c r="L29">
        <f>I29-J29</f>
        <v>144</v>
      </c>
      <c r="M29" s="14">
        <f>SUM(Capacity!Y21:Y31)/SUM(Capacity!A21:A31)</f>
        <v>0.87272727272727268</v>
      </c>
    </row>
    <row r="30" spans="1:14">
      <c r="A30" t="s">
        <v>17</v>
      </c>
      <c r="B30" s="2">
        <v>46260</v>
      </c>
      <c r="C30" s="2">
        <v>46273.999305555553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164C-D563-48A9-ABD5-C1CB41E0E47E}">
  <sheetPr>
    <tabColor rgb="FF00B0F0"/>
  </sheetPr>
  <dimension ref="A19:AF35"/>
  <sheetViews>
    <sheetView workbookViewId="0">
      <pane xSplit="6" topLeftCell="J1" activePane="topRight" state="frozen"/>
      <selection pane="topRight" activeCell="AA21" sqref="AA21:AA28"/>
    </sheetView>
  </sheetViews>
  <sheetFormatPr defaultRowHeight="15"/>
  <cols>
    <col min="1" max="1" width="13.42578125" bestFit="1" customWidth="1"/>
    <col min="2" max="2" width="7.7109375" bestFit="1" customWidth="1"/>
    <col min="3" max="3" width="9.7109375" hidden="1" customWidth="1"/>
    <col min="4" max="4" width="17.42578125" bestFit="1" customWidth="1"/>
    <col min="5" max="5" width="16" bestFit="1" customWidth="1"/>
    <col min="6" max="6" width="18.140625" bestFit="1" customWidth="1"/>
    <col min="7" max="28" width="8.140625" customWidth="1"/>
    <col min="29" max="32" width="10.85546875" customWidth="1"/>
  </cols>
  <sheetData>
    <row r="19" spans="1:32">
      <c r="G19" s="97" t="s">
        <v>18</v>
      </c>
      <c r="H19" s="97"/>
      <c r="I19" s="97"/>
      <c r="J19" s="97"/>
      <c r="K19" s="97"/>
      <c r="L19" s="98" t="s">
        <v>19</v>
      </c>
      <c r="M19" s="98"/>
      <c r="N19" s="98"/>
      <c r="O19" s="98"/>
      <c r="P19" s="98"/>
      <c r="Q19" s="97" t="s">
        <v>20</v>
      </c>
      <c r="R19" s="97"/>
      <c r="S19" s="97"/>
      <c r="T19" s="97"/>
      <c r="U19" s="97"/>
      <c r="V19" s="97"/>
      <c r="W19" s="98" t="s">
        <v>21</v>
      </c>
      <c r="X19" s="98"/>
      <c r="Y19" s="98"/>
      <c r="Z19" s="98"/>
      <c r="AA19" s="98"/>
      <c r="AB19" s="98"/>
      <c r="AC19" s="98"/>
      <c r="AD19" s="15"/>
      <c r="AE19" s="15"/>
      <c r="AF19" s="15"/>
    </row>
    <row r="20" spans="1:32">
      <c r="A20" s="18" t="s">
        <v>22</v>
      </c>
      <c r="B20" s="18" t="s">
        <v>23</v>
      </c>
      <c r="C20" s="18" t="s">
        <v>24</v>
      </c>
      <c r="D20" s="18" t="s">
        <v>25</v>
      </c>
      <c r="E20" s="18" t="s">
        <v>26</v>
      </c>
      <c r="F20" s="18" t="s">
        <v>27</v>
      </c>
      <c r="G20" s="19" t="s">
        <v>28</v>
      </c>
      <c r="H20" s="19" t="s">
        <v>29</v>
      </c>
      <c r="I20" s="19" t="s">
        <v>30</v>
      </c>
      <c r="J20" s="19" t="s">
        <v>31</v>
      </c>
      <c r="K20" s="19" t="s">
        <v>32</v>
      </c>
      <c r="L20" s="20" t="s">
        <v>28</v>
      </c>
      <c r="M20" s="20" t="s">
        <v>29</v>
      </c>
      <c r="N20" s="20" t="s">
        <v>30</v>
      </c>
      <c r="O20" s="18" t="s">
        <v>31</v>
      </c>
      <c r="P20" s="18" t="s">
        <v>33</v>
      </c>
      <c r="Q20" s="19" t="s">
        <v>28</v>
      </c>
      <c r="R20" s="19" t="s">
        <v>29</v>
      </c>
      <c r="S20" s="19" t="s">
        <v>30</v>
      </c>
      <c r="T20" s="19" t="s">
        <v>34</v>
      </c>
      <c r="U20" s="19" t="s">
        <v>31</v>
      </c>
      <c r="V20" s="19" t="s">
        <v>35</v>
      </c>
      <c r="W20" s="18" t="s">
        <v>28</v>
      </c>
      <c r="X20" s="18" t="s">
        <v>29</v>
      </c>
      <c r="Y20" s="18" t="s">
        <v>30</v>
      </c>
      <c r="Z20" s="18" t="s">
        <v>36</v>
      </c>
      <c r="AA20" s="18" t="s">
        <v>37</v>
      </c>
      <c r="AB20" s="18" t="s">
        <v>31</v>
      </c>
      <c r="AC20" s="18" t="s">
        <v>38</v>
      </c>
      <c r="AD20" s="3"/>
      <c r="AE20" s="3"/>
      <c r="AF20" s="3"/>
    </row>
    <row r="21" spans="1:32">
      <c r="A21" s="17">
        <v>10</v>
      </c>
      <c r="B21" s="21">
        <v>1</v>
      </c>
      <c r="C21" s="21" t="s">
        <v>39</v>
      </c>
      <c r="D21" s="22" t="s">
        <v>40</v>
      </c>
      <c r="E21" s="23">
        <f>AVERAGE(K21,P21,V21,AC21)</f>
        <v>0.76111111111111118</v>
      </c>
      <c r="F21" s="23">
        <f>E21*A21</f>
        <v>7.6111111111111116</v>
      </c>
      <c r="G21" s="24">
        <v>1</v>
      </c>
      <c r="H21" s="24"/>
      <c r="I21" s="24">
        <f>A21-H21-G21</f>
        <v>9</v>
      </c>
      <c r="J21" s="24">
        <v>11</v>
      </c>
      <c r="K21" s="25">
        <f>J21/I21</f>
        <v>1.2222222222222223</v>
      </c>
      <c r="L21" s="17"/>
      <c r="M21" s="17"/>
      <c r="N21" s="17">
        <f>A21-M21-L21</f>
        <v>10</v>
      </c>
      <c r="O21" s="17">
        <v>3</v>
      </c>
      <c r="P21" s="26">
        <f>O21/N21</f>
        <v>0.3</v>
      </c>
      <c r="Q21" s="24"/>
      <c r="R21" s="24"/>
      <c r="S21" s="24">
        <f>A21-Q21-R21</f>
        <v>10</v>
      </c>
      <c r="T21" s="24">
        <v>16</v>
      </c>
      <c r="U21" s="24">
        <f>27-8</f>
        <v>19</v>
      </c>
      <c r="V21" s="25"/>
      <c r="W21" s="17">
        <v>1</v>
      </c>
      <c r="X21" s="17"/>
      <c r="Y21" s="17">
        <f>A21-X21-W21</f>
        <v>9</v>
      </c>
      <c r="Z21" s="26">
        <v>12</v>
      </c>
      <c r="AA21" s="26"/>
      <c r="AB21" s="17"/>
      <c r="AC21" s="26"/>
    </row>
    <row r="22" spans="1:32">
      <c r="A22" s="17">
        <v>10</v>
      </c>
      <c r="B22" s="21">
        <v>1</v>
      </c>
      <c r="C22" s="21" t="s">
        <v>41</v>
      </c>
      <c r="D22" s="22" t="s">
        <v>42</v>
      </c>
      <c r="E22" s="23">
        <f>AVERAGE(K22,P22,V22,AC22)</f>
        <v>0.8</v>
      </c>
      <c r="F22" s="23">
        <f t="shared" ref="F22:F31" si="0">E22*A22</f>
        <v>8</v>
      </c>
      <c r="G22" s="24"/>
      <c r="H22" s="24"/>
      <c r="I22" s="24">
        <f t="shared" ref="I22:I31" si="1">A22-H22-G22</f>
        <v>10</v>
      </c>
      <c r="J22" s="24">
        <v>8</v>
      </c>
      <c r="K22" s="25">
        <f t="shared" ref="K22:K31" si="2">J22/I22</f>
        <v>0.8</v>
      </c>
      <c r="L22" s="17"/>
      <c r="M22" s="17"/>
      <c r="N22" s="17">
        <f>A22-M22-L22</f>
        <v>10</v>
      </c>
      <c r="O22" s="17">
        <v>8</v>
      </c>
      <c r="P22" s="26">
        <f t="shared" ref="P22:P31" si="3">O22/N22</f>
        <v>0.8</v>
      </c>
      <c r="Q22" s="24">
        <v>1</v>
      </c>
      <c r="R22" s="24">
        <v>3</v>
      </c>
      <c r="S22" s="24">
        <f>A22-Q22-R22</f>
        <v>6</v>
      </c>
      <c r="T22" s="24">
        <v>5</v>
      </c>
      <c r="U22" s="24">
        <v>13</v>
      </c>
      <c r="V22" s="25"/>
      <c r="W22" s="17"/>
      <c r="X22" s="17"/>
      <c r="Y22" s="17">
        <f>A22-X22-W22</f>
        <v>10</v>
      </c>
      <c r="Z22" s="26">
        <v>8</v>
      </c>
      <c r="AA22" s="26"/>
      <c r="AB22" s="17"/>
      <c r="AC22" s="26"/>
    </row>
    <row r="23" spans="1:32">
      <c r="A23" s="17">
        <v>10</v>
      </c>
      <c r="B23" s="21">
        <v>1</v>
      </c>
      <c r="C23" s="21" t="s">
        <v>43</v>
      </c>
      <c r="D23" s="22" t="s">
        <v>44</v>
      </c>
      <c r="E23" s="23">
        <f>AVERAGE(K23,P23,V23,AC23)</f>
        <v>0</v>
      </c>
      <c r="F23" s="23">
        <f t="shared" si="0"/>
        <v>0</v>
      </c>
      <c r="G23" s="24">
        <v>1</v>
      </c>
      <c r="H23" s="24"/>
      <c r="I23" s="24">
        <f t="shared" si="1"/>
        <v>9</v>
      </c>
      <c r="J23" s="24">
        <v>0</v>
      </c>
      <c r="K23" s="25">
        <f t="shared" si="2"/>
        <v>0</v>
      </c>
      <c r="L23" s="17">
        <v>1</v>
      </c>
      <c r="M23" s="17"/>
      <c r="N23" s="17">
        <f>A23-M23-L23</f>
        <v>9</v>
      </c>
      <c r="O23" s="17">
        <v>0</v>
      </c>
      <c r="P23" s="26">
        <f t="shared" si="3"/>
        <v>0</v>
      </c>
      <c r="Q23" s="24">
        <v>1</v>
      </c>
      <c r="R23" s="24"/>
      <c r="S23" s="24">
        <f>A23-Q23-R23</f>
        <v>9</v>
      </c>
      <c r="T23" s="24">
        <v>5</v>
      </c>
      <c r="U23" s="24">
        <v>8</v>
      </c>
      <c r="V23" s="25"/>
      <c r="W23" s="17"/>
      <c r="X23" s="17">
        <v>1</v>
      </c>
      <c r="Y23" s="17">
        <f>A23-X23-W23</f>
        <v>9</v>
      </c>
      <c r="Z23" s="26">
        <v>8</v>
      </c>
      <c r="AA23" s="26"/>
      <c r="AB23" s="17"/>
      <c r="AC23" s="26"/>
    </row>
    <row r="24" spans="1:32">
      <c r="A24" s="17">
        <v>10</v>
      </c>
      <c r="B24" s="21">
        <v>1</v>
      </c>
      <c r="C24" s="21" t="s">
        <v>41</v>
      </c>
      <c r="D24" s="22" t="s">
        <v>45</v>
      </c>
      <c r="E24" s="23">
        <f>AVERAGE(K24,P24,V24,AC24)</f>
        <v>0.26666666666666666</v>
      </c>
      <c r="F24" s="23">
        <f t="shared" si="0"/>
        <v>2.6666666666666665</v>
      </c>
      <c r="G24" s="24"/>
      <c r="H24" s="24">
        <v>1</v>
      </c>
      <c r="I24" s="24">
        <f t="shared" si="1"/>
        <v>9</v>
      </c>
      <c r="J24" s="24">
        <v>3</v>
      </c>
      <c r="K24" s="25">
        <f t="shared" si="2"/>
        <v>0.33333333333333331</v>
      </c>
      <c r="L24" s="17"/>
      <c r="M24" s="17"/>
      <c r="N24" s="17">
        <f>A24-M24-L24</f>
        <v>10</v>
      </c>
      <c r="O24" s="17">
        <v>2</v>
      </c>
      <c r="P24" s="26">
        <f t="shared" si="3"/>
        <v>0.2</v>
      </c>
      <c r="Q24" s="24">
        <v>1</v>
      </c>
      <c r="R24" s="24"/>
      <c r="S24" s="24">
        <f>A24-Q24-R24</f>
        <v>9</v>
      </c>
      <c r="T24" s="24">
        <v>10</v>
      </c>
      <c r="U24" s="24">
        <v>10</v>
      </c>
      <c r="V24" s="25"/>
      <c r="W24" s="17"/>
      <c r="X24" s="17"/>
      <c r="Y24" s="17">
        <f>A24-X24-W24</f>
        <v>10</v>
      </c>
      <c r="Z24" s="26">
        <v>8</v>
      </c>
      <c r="AA24" s="26"/>
      <c r="AB24" s="17"/>
      <c r="AC24" s="26"/>
    </row>
    <row r="25" spans="1:32">
      <c r="A25" s="17">
        <v>10</v>
      </c>
      <c r="B25" s="21">
        <v>1</v>
      </c>
      <c r="C25" s="21" t="s">
        <v>39</v>
      </c>
      <c r="D25" s="22" t="s">
        <v>46</v>
      </c>
      <c r="E25" s="23">
        <f>AVERAGE(K25,P25,V25,AC25)</f>
        <v>0.41666666666666663</v>
      </c>
      <c r="F25" s="23">
        <f t="shared" si="0"/>
        <v>4.1666666666666661</v>
      </c>
      <c r="G25" s="24">
        <v>1</v>
      </c>
      <c r="H25" s="24"/>
      <c r="I25" s="24">
        <f t="shared" si="1"/>
        <v>9</v>
      </c>
      <c r="J25" s="24">
        <v>3</v>
      </c>
      <c r="K25" s="25">
        <f t="shared" si="2"/>
        <v>0.33333333333333331</v>
      </c>
      <c r="L25" s="17"/>
      <c r="M25" s="17"/>
      <c r="N25" s="17">
        <f>A25-M25-L25</f>
        <v>10</v>
      </c>
      <c r="O25" s="17">
        <v>5</v>
      </c>
      <c r="P25" s="26">
        <f t="shared" si="3"/>
        <v>0.5</v>
      </c>
      <c r="Q25" s="24"/>
      <c r="R25" s="24"/>
      <c r="S25" s="24">
        <f>A25-Q25-R25</f>
        <v>10</v>
      </c>
      <c r="T25" s="24">
        <v>15</v>
      </c>
      <c r="U25" s="24">
        <v>22</v>
      </c>
      <c r="V25" s="25"/>
      <c r="W25" s="17">
        <v>1</v>
      </c>
      <c r="X25" s="17"/>
      <c r="Y25" s="17">
        <f>A25-X25-W25</f>
        <v>9</v>
      </c>
      <c r="Z25" s="26">
        <v>12</v>
      </c>
      <c r="AA25" s="26"/>
      <c r="AB25" s="17"/>
      <c r="AC25" s="26"/>
    </row>
    <row r="26" spans="1:32">
      <c r="A26" s="17">
        <v>10</v>
      </c>
      <c r="B26" s="21">
        <v>1</v>
      </c>
      <c r="C26" s="21" t="s">
        <v>47</v>
      </c>
      <c r="D26" s="17" t="s">
        <v>48</v>
      </c>
      <c r="E26" s="23">
        <f>AVERAGE(K26,P26,V26,AC26)</f>
        <v>0.96666666666666667</v>
      </c>
      <c r="F26" s="23">
        <f t="shared" si="0"/>
        <v>9.6666666666666661</v>
      </c>
      <c r="G26" s="24">
        <v>1</v>
      </c>
      <c r="H26" s="24"/>
      <c r="I26" s="24">
        <f t="shared" si="1"/>
        <v>9</v>
      </c>
      <c r="J26" s="24">
        <v>3</v>
      </c>
      <c r="K26" s="25">
        <f t="shared" si="2"/>
        <v>0.33333333333333331</v>
      </c>
      <c r="L26" s="17">
        <v>1</v>
      </c>
      <c r="M26" s="17">
        <v>4</v>
      </c>
      <c r="N26" s="17">
        <f>A26-M26-L26</f>
        <v>5</v>
      </c>
      <c r="O26" s="17">
        <v>8</v>
      </c>
      <c r="P26" s="26">
        <f t="shared" si="3"/>
        <v>1.6</v>
      </c>
      <c r="Q26" s="24">
        <v>1</v>
      </c>
      <c r="R26" s="24">
        <v>9</v>
      </c>
      <c r="S26" s="24">
        <f>A26-Q26-R26</f>
        <v>0</v>
      </c>
      <c r="T26" s="24">
        <v>0</v>
      </c>
      <c r="U26" s="24">
        <v>0</v>
      </c>
      <c r="V26" s="25"/>
      <c r="W26" s="17"/>
      <c r="X26" s="17">
        <v>4</v>
      </c>
      <c r="Y26" s="17">
        <f>A26-X26-W26</f>
        <v>6</v>
      </c>
      <c r="Z26" s="26">
        <v>5</v>
      </c>
      <c r="AA26" s="26"/>
      <c r="AB26" s="17"/>
      <c r="AC26" s="26"/>
    </row>
    <row r="27" spans="1:32">
      <c r="A27" s="17">
        <v>10</v>
      </c>
      <c r="B27" s="21">
        <v>1</v>
      </c>
      <c r="C27" s="21" t="s">
        <v>39</v>
      </c>
      <c r="D27" s="22" t="s">
        <v>49</v>
      </c>
      <c r="E27" s="23">
        <f>AVERAGE(K27,P27,V27,AC27)</f>
        <v>1.3888888888888888</v>
      </c>
      <c r="F27" s="23">
        <f t="shared" si="0"/>
        <v>13.888888888888889</v>
      </c>
      <c r="G27" s="24">
        <v>1</v>
      </c>
      <c r="H27" s="24"/>
      <c r="I27" s="24">
        <f t="shared" si="1"/>
        <v>9</v>
      </c>
      <c r="J27" s="24">
        <v>16</v>
      </c>
      <c r="K27" s="25">
        <f t="shared" si="2"/>
        <v>1.7777777777777777</v>
      </c>
      <c r="L27" s="17"/>
      <c r="M27" s="17"/>
      <c r="N27" s="17">
        <f>A27-M27-L27</f>
        <v>10</v>
      </c>
      <c r="O27" s="17">
        <v>10</v>
      </c>
      <c r="P27" s="26">
        <f t="shared" si="3"/>
        <v>1</v>
      </c>
      <c r="Q27" s="24"/>
      <c r="R27" s="24"/>
      <c r="S27" s="24">
        <f>A27-Q27-R27</f>
        <v>10</v>
      </c>
      <c r="T27" s="24">
        <v>10</v>
      </c>
      <c r="U27" s="24">
        <v>12</v>
      </c>
      <c r="V27" s="25"/>
      <c r="W27" s="17">
        <v>1</v>
      </c>
      <c r="X27" s="17"/>
      <c r="Y27" s="17">
        <f>A27-X27-W27</f>
        <v>9</v>
      </c>
      <c r="Z27" s="26">
        <v>12</v>
      </c>
      <c r="AA27" s="26"/>
      <c r="AB27" s="17"/>
      <c r="AC27" s="26"/>
    </row>
    <row r="28" spans="1:32">
      <c r="A28" s="17">
        <v>10</v>
      </c>
      <c r="B28" s="21">
        <v>1</v>
      </c>
      <c r="C28" s="21" t="s">
        <v>39</v>
      </c>
      <c r="D28" s="22" t="s">
        <v>50</v>
      </c>
      <c r="E28" s="23">
        <f>AVERAGE(K28,P28,V28,AC28)</f>
        <v>0.87222222222222223</v>
      </c>
      <c r="F28" s="23">
        <f t="shared" si="0"/>
        <v>8.7222222222222214</v>
      </c>
      <c r="G28" s="24">
        <v>1</v>
      </c>
      <c r="H28" s="24"/>
      <c r="I28" s="24">
        <f t="shared" si="1"/>
        <v>9</v>
      </c>
      <c r="J28" s="24">
        <v>4</v>
      </c>
      <c r="K28" s="25">
        <f t="shared" si="2"/>
        <v>0.44444444444444442</v>
      </c>
      <c r="L28" s="17"/>
      <c r="M28" s="17"/>
      <c r="N28" s="17">
        <f>A28-M28-L28</f>
        <v>10</v>
      </c>
      <c r="O28" s="17">
        <v>13</v>
      </c>
      <c r="P28" s="26">
        <f t="shared" si="3"/>
        <v>1.3</v>
      </c>
      <c r="Q28" s="24"/>
      <c r="R28" s="24"/>
      <c r="S28" s="24">
        <f>A28-Q28-R28</f>
        <v>10</v>
      </c>
      <c r="T28" s="24">
        <v>14</v>
      </c>
      <c r="U28" s="24">
        <v>12</v>
      </c>
      <c r="V28" s="25"/>
      <c r="W28" s="17">
        <v>1</v>
      </c>
      <c r="X28" s="17"/>
      <c r="Y28" s="17">
        <f>A28-X28-W28</f>
        <v>9</v>
      </c>
      <c r="Z28" s="26">
        <v>12</v>
      </c>
      <c r="AA28" s="26"/>
      <c r="AB28" s="17"/>
      <c r="AC28" s="26"/>
    </row>
    <row r="29" spans="1:32">
      <c r="A29" s="17">
        <v>10</v>
      </c>
      <c r="B29" s="21">
        <v>1</v>
      </c>
      <c r="C29" s="21" t="s">
        <v>43</v>
      </c>
      <c r="D29" s="22" t="s">
        <v>51</v>
      </c>
      <c r="E29" s="23">
        <f>AVERAGE(K29,P29,V29,AC29)</f>
        <v>0.88888888888888884</v>
      </c>
      <c r="F29" s="23">
        <f t="shared" si="0"/>
        <v>8.8888888888888893</v>
      </c>
      <c r="G29" s="24">
        <v>1</v>
      </c>
      <c r="H29" s="24"/>
      <c r="I29" s="24">
        <f t="shared" si="1"/>
        <v>9</v>
      </c>
      <c r="J29" s="24">
        <v>6</v>
      </c>
      <c r="K29" s="25">
        <f t="shared" si="2"/>
        <v>0.66666666666666663</v>
      </c>
      <c r="L29" s="17">
        <v>1</v>
      </c>
      <c r="M29" s="17"/>
      <c r="N29" s="17">
        <f>A29-M29-L29</f>
        <v>9</v>
      </c>
      <c r="O29" s="17">
        <v>10</v>
      </c>
      <c r="P29" s="26">
        <f t="shared" si="3"/>
        <v>1.1111111111111112</v>
      </c>
      <c r="Q29" s="24">
        <v>1</v>
      </c>
      <c r="R29" s="24"/>
      <c r="S29" s="24">
        <f>A29-Q29-R29</f>
        <v>9</v>
      </c>
      <c r="T29" s="24">
        <v>12</v>
      </c>
      <c r="U29" s="24">
        <f>12-4</f>
        <v>8</v>
      </c>
      <c r="V29" s="25"/>
      <c r="W29" s="17"/>
      <c r="X29" s="17"/>
      <c r="Y29" s="17">
        <f>A29-X29-W29</f>
        <v>10</v>
      </c>
      <c r="Z29" s="26">
        <v>8</v>
      </c>
      <c r="AA29" s="26"/>
      <c r="AB29" s="17"/>
      <c r="AC29" s="26"/>
    </row>
    <row r="30" spans="1:32">
      <c r="A30" s="17">
        <v>10</v>
      </c>
      <c r="B30" s="21">
        <v>1</v>
      </c>
      <c r="C30" s="21" t="s">
        <v>52</v>
      </c>
      <c r="D30" s="22" t="s">
        <v>53</v>
      </c>
      <c r="E30" s="23">
        <f>AVERAGE(K30,P30,V30,AC30)</f>
        <v>0.64444444444444438</v>
      </c>
      <c r="F30" s="23">
        <f t="shared" si="0"/>
        <v>6.4444444444444438</v>
      </c>
      <c r="G30" s="24">
        <v>1</v>
      </c>
      <c r="H30" s="24"/>
      <c r="I30" s="24">
        <f t="shared" si="1"/>
        <v>9</v>
      </c>
      <c r="J30" s="24">
        <v>8</v>
      </c>
      <c r="K30" s="25">
        <f t="shared" si="2"/>
        <v>0.88888888888888884</v>
      </c>
      <c r="L30" s="17"/>
      <c r="M30" s="17"/>
      <c r="N30" s="17">
        <f>A30-M30-L30</f>
        <v>10</v>
      </c>
      <c r="O30" s="17">
        <v>4</v>
      </c>
      <c r="P30" s="26">
        <f t="shared" si="3"/>
        <v>0.4</v>
      </c>
      <c r="Q30" s="24"/>
      <c r="R30" s="24"/>
      <c r="S30" s="24">
        <f>A30-Q30-R30</f>
        <v>10</v>
      </c>
      <c r="T30" s="24">
        <v>20</v>
      </c>
      <c r="U30" s="24">
        <f>27-5</f>
        <v>22</v>
      </c>
      <c r="V30" s="25"/>
      <c r="W30" s="17"/>
      <c r="X30" s="17"/>
      <c r="Y30" s="17">
        <f>A30-X30-W30</f>
        <v>10</v>
      </c>
      <c r="Z30" s="26">
        <v>12</v>
      </c>
      <c r="AA30" s="26"/>
      <c r="AB30" s="17"/>
      <c r="AC30" s="26"/>
    </row>
    <row r="31" spans="1:32">
      <c r="A31" s="17">
        <v>10</v>
      </c>
      <c r="B31" s="21">
        <v>0.5</v>
      </c>
      <c r="C31" s="21" t="s">
        <v>54</v>
      </c>
      <c r="D31" s="17" t="s">
        <v>55</v>
      </c>
      <c r="E31" s="23">
        <f>AVERAGE(K31,P31,V31,AC31)</f>
        <v>0.4</v>
      </c>
      <c r="F31" s="23">
        <f t="shared" si="0"/>
        <v>4</v>
      </c>
      <c r="G31" s="24"/>
      <c r="H31" s="24"/>
      <c r="I31" s="24">
        <f t="shared" si="1"/>
        <v>10</v>
      </c>
      <c r="J31" s="24">
        <v>8</v>
      </c>
      <c r="K31" s="25">
        <f t="shared" si="2"/>
        <v>0.8</v>
      </c>
      <c r="L31" s="17"/>
      <c r="M31" s="17"/>
      <c r="N31" s="17">
        <f>A31-M31-L31</f>
        <v>10</v>
      </c>
      <c r="O31" s="17">
        <v>0</v>
      </c>
      <c r="P31" s="26">
        <f t="shared" si="3"/>
        <v>0</v>
      </c>
      <c r="Q31" s="24"/>
      <c r="R31" s="24"/>
      <c r="S31" s="24">
        <f>A31-Q31-R31</f>
        <v>10</v>
      </c>
      <c r="T31" s="27">
        <v>12</v>
      </c>
      <c r="U31" s="24">
        <v>12</v>
      </c>
      <c r="V31" s="25"/>
      <c r="W31" s="17">
        <v>1</v>
      </c>
      <c r="X31" s="17">
        <v>4</v>
      </c>
      <c r="Y31" s="17">
        <f>A31-X31-W31</f>
        <v>5</v>
      </c>
      <c r="Z31" s="26">
        <v>8</v>
      </c>
      <c r="AA31" s="26"/>
      <c r="AB31" s="17"/>
      <c r="AC31" s="26"/>
    </row>
    <row r="34" spans="6:25">
      <c r="I34" s="3"/>
      <c r="N34" s="3"/>
      <c r="Q34" s="16"/>
      <c r="S34" s="3"/>
      <c r="Y34" s="3"/>
    </row>
    <row r="35" spans="6:25">
      <c r="F35" s="3"/>
      <c r="I35" s="14"/>
      <c r="N35" s="14"/>
      <c r="S35" s="14"/>
      <c r="Y35" s="14"/>
    </row>
  </sheetData>
  <mergeCells count="4">
    <mergeCell ref="G19:K19"/>
    <mergeCell ref="W19:AC19"/>
    <mergeCell ref="Q19:V19"/>
    <mergeCell ref="L19:P19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FE7E-0747-472C-B6C6-04D840BE765B}">
  <dimension ref="A1:H94"/>
  <sheetViews>
    <sheetView workbookViewId="0">
      <selection activeCell="D97" sqref="D97"/>
    </sheetView>
  </sheetViews>
  <sheetFormatPr defaultRowHeight="15"/>
  <cols>
    <col min="1" max="1" width="10.5703125" bestFit="1" customWidth="1"/>
    <col min="2" max="2" width="11.42578125" bestFit="1" customWidth="1"/>
    <col min="3" max="3" width="13.85546875" bestFit="1" customWidth="1"/>
    <col min="4" max="4" width="45" bestFit="1" customWidth="1"/>
  </cols>
  <sheetData>
    <row r="1" spans="1:8" ht="30.75">
      <c r="A1" s="28" t="s">
        <v>56</v>
      </c>
      <c r="B1" s="29" t="s">
        <v>57</v>
      </c>
      <c r="C1" s="30" t="s">
        <v>58</v>
      </c>
      <c r="D1" s="31" t="s">
        <v>59</v>
      </c>
      <c r="E1" s="30" t="s">
        <v>60</v>
      </c>
      <c r="F1" s="32" t="s">
        <v>61</v>
      </c>
      <c r="G1" s="30" t="s">
        <v>62</v>
      </c>
      <c r="H1" s="33" t="s">
        <v>63</v>
      </c>
    </row>
    <row r="2" spans="1:8">
      <c r="A2" s="34" t="s">
        <v>60</v>
      </c>
      <c r="B2" s="35">
        <v>46023</v>
      </c>
      <c r="C2" s="36" t="s">
        <v>64</v>
      </c>
      <c r="D2" s="36" t="s">
        <v>65</v>
      </c>
      <c r="E2" s="36" t="s">
        <v>66</v>
      </c>
      <c r="F2" s="37"/>
      <c r="G2" s="36" t="s">
        <v>52</v>
      </c>
      <c r="H2" s="38" t="s">
        <v>67</v>
      </c>
    </row>
    <row r="3" spans="1:8">
      <c r="A3" s="34" t="s">
        <v>60</v>
      </c>
      <c r="B3" s="35">
        <v>46115</v>
      </c>
      <c r="C3" s="36" t="s">
        <v>68</v>
      </c>
      <c r="D3" s="36" t="s">
        <v>65</v>
      </c>
      <c r="E3" s="36" t="s">
        <v>69</v>
      </c>
      <c r="F3" s="37"/>
      <c r="G3" s="36" t="s">
        <v>52</v>
      </c>
      <c r="H3" s="38" t="s">
        <v>67</v>
      </c>
    </row>
    <row r="4" spans="1:8">
      <c r="A4" s="34" t="s">
        <v>60</v>
      </c>
      <c r="B4" s="35">
        <v>46116</v>
      </c>
      <c r="C4" s="36" t="s">
        <v>70</v>
      </c>
      <c r="D4" s="36" t="s">
        <v>71</v>
      </c>
      <c r="E4" s="36" t="s">
        <v>72</v>
      </c>
      <c r="F4" s="37"/>
      <c r="G4" s="36" t="s">
        <v>52</v>
      </c>
      <c r="H4" s="38" t="s">
        <v>67</v>
      </c>
    </row>
    <row r="5" spans="1:8">
      <c r="A5" s="34" t="s">
        <v>60</v>
      </c>
      <c r="B5" s="35">
        <v>46143</v>
      </c>
      <c r="C5" s="36" t="s">
        <v>68</v>
      </c>
      <c r="D5" s="36" t="s">
        <v>65</v>
      </c>
      <c r="E5" s="36" t="s">
        <v>73</v>
      </c>
      <c r="F5" s="37"/>
      <c r="G5" s="36" t="s">
        <v>52</v>
      </c>
      <c r="H5" s="38" t="s">
        <v>67</v>
      </c>
    </row>
    <row r="6" spans="1:8">
      <c r="A6" s="34" t="s">
        <v>60</v>
      </c>
      <c r="B6" s="35">
        <v>46163</v>
      </c>
      <c r="C6" s="36" t="s">
        <v>64</v>
      </c>
      <c r="D6" s="36" t="s">
        <v>65</v>
      </c>
      <c r="E6" s="36" t="s">
        <v>74</v>
      </c>
      <c r="F6" s="37"/>
      <c r="G6" s="36" t="s">
        <v>52</v>
      </c>
      <c r="H6" s="38" t="s">
        <v>67</v>
      </c>
    </row>
    <row r="7" spans="1:8">
      <c r="A7" s="39" t="s">
        <v>60</v>
      </c>
      <c r="B7" s="35">
        <v>46194</v>
      </c>
      <c r="C7" s="36" t="s">
        <v>75</v>
      </c>
      <c r="D7" s="36" t="s">
        <v>71</v>
      </c>
      <c r="E7" s="40" t="s">
        <v>76</v>
      </c>
      <c r="F7" s="41"/>
      <c r="G7" s="40" t="s">
        <v>52</v>
      </c>
      <c r="H7" s="38" t="s">
        <v>67</v>
      </c>
    </row>
    <row r="8" spans="1:8">
      <c r="A8" s="39" t="s">
        <v>60</v>
      </c>
      <c r="B8" s="35">
        <v>46202</v>
      </c>
      <c r="C8" s="36" t="s">
        <v>77</v>
      </c>
      <c r="D8" s="36" t="s">
        <v>65</v>
      </c>
      <c r="E8" s="40" t="s">
        <v>78</v>
      </c>
      <c r="F8" s="41"/>
      <c r="G8" s="40" t="s">
        <v>52</v>
      </c>
      <c r="H8" s="38" t="s">
        <v>67</v>
      </c>
    </row>
    <row r="9" spans="1:8">
      <c r="A9" s="34" t="s">
        <v>60</v>
      </c>
      <c r="B9" s="35">
        <v>46219</v>
      </c>
      <c r="C9" s="36" t="s">
        <v>64</v>
      </c>
      <c r="D9" s="36" t="s">
        <v>65</v>
      </c>
      <c r="E9" s="36" t="s">
        <v>79</v>
      </c>
      <c r="F9" s="37"/>
      <c r="G9" s="36" t="s">
        <v>52</v>
      </c>
      <c r="H9" s="38" t="s">
        <v>67</v>
      </c>
    </row>
    <row r="10" spans="1:8">
      <c r="A10" s="34" t="s">
        <v>60</v>
      </c>
      <c r="B10" s="35">
        <v>46249</v>
      </c>
      <c r="C10" s="36" t="s">
        <v>70</v>
      </c>
      <c r="D10" s="36" t="s">
        <v>71</v>
      </c>
      <c r="E10" s="36" t="s">
        <v>80</v>
      </c>
      <c r="F10" s="37"/>
      <c r="G10" s="36" t="s">
        <v>52</v>
      </c>
      <c r="H10" s="38" t="s">
        <v>67</v>
      </c>
    </row>
    <row r="11" spans="1:8">
      <c r="A11" s="34" t="s">
        <v>60</v>
      </c>
      <c r="B11" s="35">
        <v>46283</v>
      </c>
      <c r="C11" s="36" t="s">
        <v>68</v>
      </c>
      <c r="D11" s="36" t="s">
        <v>65</v>
      </c>
      <c r="E11" s="36" t="s">
        <v>81</v>
      </c>
      <c r="F11" s="37"/>
      <c r="G11" s="36" t="s">
        <v>52</v>
      </c>
      <c r="H11" s="38" t="s">
        <v>67</v>
      </c>
    </row>
    <row r="12" spans="1:8">
      <c r="A12" s="34" t="s">
        <v>60</v>
      </c>
      <c r="B12" s="35">
        <v>46284</v>
      </c>
      <c r="C12" s="36" t="s">
        <v>70</v>
      </c>
      <c r="D12" s="36" t="s">
        <v>71</v>
      </c>
      <c r="E12" s="36" t="s">
        <v>82</v>
      </c>
      <c r="F12" s="37"/>
      <c r="G12" s="36" t="s">
        <v>52</v>
      </c>
      <c r="H12" s="38" t="s">
        <v>67</v>
      </c>
    </row>
    <row r="13" spans="1:8">
      <c r="A13" s="34" t="s">
        <v>60</v>
      </c>
      <c r="B13" s="35">
        <v>46307</v>
      </c>
      <c r="C13" s="36" t="s">
        <v>77</v>
      </c>
      <c r="D13" s="36" t="s">
        <v>65</v>
      </c>
      <c r="E13" s="36" t="s">
        <v>83</v>
      </c>
      <c r="F13" s="37"/>
      <c r="G13" s="36" t="s">
        <v>52</v>
      </c>
      <c r="H13" s="38" t="s">
        <v>67</v>
      </c>
    </row>
    <row r="14" spans="1:8">
      <c r="A14" s="39" t="s">
        <v>60</v>
      </c>
      <c r="B14" s="35">
        <v>46326</v>
      </c>
      <c r="C14" s="36" t="s">
        <v>70</v>
      </c>
      <c r="D14" s="36" t="s">
        <v>71</v>
      </c>
      <c r="E14" s="40" t="s">
        <v>84</v>
      </c>
      <c r="F14" s="41"/>
      <c r="G14" s="40" t="s">
        <v>52</v>
      </c>
      <c r="H14" s="38" t="s">
        <v>67</v>
      </c>
    </row>
    <row r="15" spans="1:8">
      <c r="A15" s="39" t="s">
        <v>60</v>
      </c>
      <c r="B15" s="35">
        <v>46327</v>
      </c>
      <c r="C15" s="36" t="s">
        <v>75</v>
      </c>
      <c r="D15" s="36" t="s">
        <v>71</v>
      </c>
      <c r="E15" s="40" t="s">
        <v>85</v>
      </c>
      <c r="F15" s="41"/>
      <c r="G15" s="40" t="s">
        <v>52</v>
      </c>
      <c r="H15" s="38" t="s">
        <v>67</v>
      </c>
    </row>
    <row r="16" spans="1:8">
      <c r="A16" s="34" t="s">
        <v>60</v>
      </c>
      <c r="B16" s="35">
        <v>46364</v>
      </c>
      <c r="C16" s="36" t="s">
        <v>86</v>
      </c>
      <c r="D16" s="36" t="s">
        <v>65</v>
      </c>
      <c r="E16" s="36" t="s">
        <v>87</v>
      </c>
      <c r="F16" s="37"/>
      <c r="G16" s="36" t="s">
        <v>52</v>
      </c>
      <c r="H16" s="38" t="s">
        <v>67</v>
      </c>
    </row>
    <row r="17" spans="1:8">
      <c r="A17" s="42" t="s">
        <v>60</v>
      </c>
      <c r="B17" s="43">
        <v>46381</v>
      </c>
      <c r="C17" s="44" t="s">
        <v>68</v>
      </c>
      <c r="D17" s="44" t="s">
        <v>65</v>
      </c>
      <c r="E17" s="45" t="s">
        <v>88</v>
      </c>
      <c r="F17" s="46"/>
      <c r="G17" s="45" t="s">
        <v>52</v>
      </c>
      <c r="H17" s="47" t="s">
        <v>67</v>
      </c>
    </row>
    <row r="18" spans="1:8">
      <c r="A18" s="48" t="s">
        <v>60</v>
      </c>
      <c r="B18" s="49">
        <v>46023</v>
      </c>
      <c r="C18" s="50" t="s">
        <v>64</v>
      </c>
      <c r="D18" s="50" t="s">
        <v>65</v>
      </c>
      <c r="E18" s="50" t="s">
        <v>66</v>
      </c>
      <c r="F18" s="51"/>
      <c r="G18" s="50" t="s">
        <v>43</v>
      </c>
      <c r="H18" s="52" t="s">
        <v>89</v>
      </c>
    </row>
    <row r="19" spans="1:8">
      <c r="A19" s="34" t="s">
        <v>60</v>
      </c>
      <c r="B19" s="35">
        <v>46034</v>
      </c>
      <c r="C19" s="36" t="s">
        <v>77</v>
      </c>
      <c r="D19" s="36" t="s">
        <v>65</v>
      </c>
      <c r="E19" s="36" t="s">
        <v>90</v>
      </c>
      <c r="F19" s="37"/>
      <c r="G19" s="36" t="s">
        <v>43</v>
      </c>
      <c r="H19" s="38" t="s">
        <v>89</v>
      </c>
    </row>
    <row r="20" spans="1:8">
      <c r="A20" s="34" t="s">
        <v>60</v>
      </c>
      <c r="B20" s="35">
        <v>46104</v>
      </c>
      <c r="C20" s="36" t="s">
        <v>77</v>
      </c>
      <c r="D20" s="36" t="s">
        <v>65</v>
      </c>
      <c r="E20" s="36" t="s">
        <v>91</v>
      </c>
      <c r="F20" s="37"/>
      <c r="G20" s="36" t="s">
        <v>43</v>
      </c>
      <c r="H20" s="38" t="s">
        <v>89</v>
      </c>
    </row>
    <row r="21" spans="1:8">
      <c r="A21" s="34" t="s">
        <v>60</v>
      </c>
      <c r="B21" s="35">
        <v>46114</v>
      </c>
      <c r="C21" s="36" t="s">
        <v>64</v>
      </c>
      <c r="D21" s="36" t="s">
        <v>65</v>
      </c>
      <c r="E21" s="36" t="s">
        <v>92</v>
      </c>
      <c r="F21" s="41"/>
      <c r="G21" s="36" t="s">
        <v>43</v>
      </c>
      <c r="H21" s="38" t="s">
        <v>89</v>
      </c>
    </row>
    <row r="22" spans="1:8">
      <c r="A22" s="34" t="s">
        <v>60</v>
      </c>
      <c r="B22" s="35">
        <v>46115</v>
      </c>
      <c r="C22" s="36" t="s">
        <v>68</v>
      </c>
      <c r="D22" s="36" t="s">
        <v>65</v>
      </c>
      <c r="E22" s="36" t="s">
        <v>69</v>
      </c>
      <c r="F22" s="37"/>
      <c r="G22" s="36" t="s">
        <v>43</v>
      </c>
      <c r="H22" s="38" t="s">
        <v>89</v>
      </c>
    </row>
    <row r="23" spans="1:8">
      <c r="A23" s="34" t="s">
        <v>60</v>
      </c>
      <c r="B23" s="35">
        <v>46143</v>
      </c>
      <c r="C23" s="36" t="s">
        <v>68</v>
      </c>
      <c r="D23" s="36" t="s">
        <v>65</v>
      </c>
      <c r="E23" s="36" t="s">
        <v>73</v>
      </c>
      <c r="F23" s="37"/>
      <c r="G23" s="36" t="s">
        <v>43</v>
      </c>
      <c r="H23" s="38" t="s">
        <v>89</v>
      </c>
    </row>
    <row r="24" spans="1:8">
      <c r="A24" s="34" t="s">
        <v>60</v>
      </c>
      <c r="B24" s="35">
        <v>46160</v>
      </c>
      <c r="C24" s="36" t="s">
        <v>77</v>
      </c>
      <c r="D24" s="36" t="s">
        <v>65</v>
      </c>
      <c r="E24" s="36" t="s">
        <v>93</v>
      </c>
      <c r="F24" s="37"/>
      <c r="G24" s="36" t="s">
        <v>43</v>
      </c>
      <c r="H24" s="38" t="s">
        <v>89</v>
      </c>
    </row>
    <row r="25" spans="1:8">
      <c r="A25" s="34" t="s">
        <v>60</v>
      </c>
      <c r="B25" s="35">
        <v>46181</v>
      </c>
      <c r="C25" s="36" t="s">
        <v>77</v>
      </c>
      <c r="D25" s="36" t="s">
        <v>65</v>
      </c>
      <c r="E25" s="36" t="s">
        <v>94</v>
      </c>
      <c r="F25" s="41"/>
      <c r="G25" s="36" t="s">
        <v>43</v>
      </c>
      <c r="H25" s="38" t="s">
        <v>89</v>
      </c>
    </row>
    <row r="26" spans="1:8">
      <c r="A26" s="34" t="s">
        <v>60</v>
      </c>
      <c r="B26" s="35">
        <v>46188</v>
      </c>
      <c r="C26" s="36" t="s">
        <v>77</v>
      </c>
      <c r="D26" s="36" t="s">
        <v>65</v>
      </c>
      <c r="E26" s="36" t="s">
        <v>95</v>
      </c>
      <c r="F26" s="37"/>
      <c r="G26" s="36" t="s">
        <v>43</v>
      </c>
      <c r="H26" s="38" t="s">
        <v>89</v>
      </c>
    </row>
    <row r="27" spans="1:8">
      <c r="A27" s="34" t="s">
        <v>60</v>
      </c>
      <c r="B27" s="35">
        <v>46202</v>
      </c>
      <c r="C27" s="36" t="s">
        <v>77</v>
      </c>
      <c r="D27" s="36" t="s">
        <v>65</v>
      </c>
      <c r="E27" s="36" t="s">
        <v>78</v>
      </c>
      <c r="F27" s="37"/>
      <c r="G27" s="36" t="s">
        <v>43</v>
      </c>
      <c r="H27" s="38" t="s">
        <v>89</v>
      </c>
    </row>
    <row r="28" spans="1:8">
      <c r="A28" s="34" t="s">
        <v>60</v>
      </c>
      <c r="B28" s="35">
        <v>46216</v>
      </c>
      <c r="C28" s="36" t="s">
        <v>77</v>
      </c>
      <c r="D28" s="36" t="s">
        <v>65</v>
      </c>
      <c r="E28" s="36" t="s">
        <v>96</v>
      </c>
      <c r="F28" s="37"/>
      <c r="G28" s="36" t="s">
        <v>43</v>
      </c>
      <c r="H28" s="38" t="s">
        <v>89</v>
      </c>
    </row>
    <row r="29" spans="1:8">
      <c r="A29" s="34" t="s">
        <v>60</v>
      </c>
      <c r="B29" s="35">
        <v>46223</v>
      </c>
      <c r="C29" s="36" t="s">
        <v>77</v>
      </c>
      <c r="D29" s="36" t="s">
        <v>65</v>
      </c>
      <c r="E29" s="36" t="s">
        <v>81</v>
      </c>
      <c r="F29" s="37"/>
      <c r="G29" s="36" t="s">
        <v>43</v>
      </c>
      <c r="H29" s="38" t="s">
        <v>89</v>
      </c>
    </row>
    <row r="30" spans="1:8">
      <c r="A30" s="34" t="s">
        <v>60</v>
      </c>
      <c r="B30" s="35">
        <v>46241</v>
      </c>
      <c r="C30" s="36" t="s">
        <v>68</v>
      </c>
      <c r="D30" s="36" t="s">
        <v>65</v>
      </c>
      <c r="E30" s="36" t="s">
        <v>97</v>
      </c>
      <c r="F30" s="37"/>
      <c r="G30" s="36" t="s">
        <v>43</v>
      </c>
      <c r="H30" s="38" t="s">
        <v>89</v>
      </c>
    </row>
    <row r="31" spans="1:8">
      <c r="A31" s="34" t="s">
        <v>60</v>
      </c>
      <c r="B31" s="35">
        <v>46251</v>
      </c>
      <c r="C31" s="36" t="s">
        <v>77</v>
      </c>
      <c r="D31" s="36" t="s">
        <v>65</v>
      </c>
      <c r="E31" s="36" t="s">
        <v>80</v>
      </c>
      <c r="F31" s="41"/>
      <c r="G31" s="36" t="s">
        <v>43</v>
      </c>
      <c r="H31" s="38" t="s">
        <v>89</v>
      </c>
    </row>
    <row r="32" spans="1:8">
      <c r="A32" s="34" t="s">
        <v>60</v>
      </c>
      <c r="B32" s="35">
        <v>46307</v>
      </c>
      <c r="C32" s="36" t="s">
        <v>77</v>
      </c>
      <c r="D32" s="36" t="s">
        <v>65</v>
      </c>
      <c r="E32" s="36" t="s">
        <v>98</v>
      </c>
      <c r="F32" s="37"/>
      <c r="G32" s="36" t="s">
        <v>43</v>
      </c>
      <c r="H32" s="38" t="s">
        <v>89</v>
      </c>
    </row>
    <row r="33" spans="1:8">
      <c r="A33" s="34" t="s">
        <v>60</v>
      </c>
      <c r="B33" s="35">
        <v>46328</v>
      </c>
      <c r="C33" s="36" t="s">
        <v>77</v>
      </c>
      <c r="D33" s="36" t="s">
        <v>65</v>
      </c>
      <c r="E33" s="36" t="s">
        <v>85</v>
      </c>
      <c r="F33" s="37"/>
      <c r="G33" s="36" t="s">
        <v>43</v>
      </c>
      <c r="H33" s="38" t="s">
        <v>89</v>
      </c>
    </row>
    <row r="34" spans="1:8">
      <c r="A34" s="34" t="s">
        <v>60</v>
      </c>
      <c r="B34" s="35">
        <v>46342</v>
      </c>
      <c r="C34" s="36" t="s">
        <v>77</v>
      </c>
      <c r="D34" s="36" t="s">
        <v>65</v>
      </c>
      <c r="E34" s="36" t="s">
        <v>99</v>
      </c>
      <c r="F34" s="37"/>
      <c r="G34" s="36" t="s">
        <v>43</v>
      </c>
      <c r="H34" s="38" t="s">
        <v>89</v>
      </c>
    </row>
    <row r="35" spans="1:8">
      <c r="A35" s="34" t="s">
        <v>60</v>
      </c>
      <c r="B35" s="35">
        <v>46364</v>
      </c>
      <c r="C35" s="36" t="s">
        <v>86</v>
      </c>
      <c r="D35" s="36" t="s">
        <v>65</v>
      </c>
      <c r="E35" s="36" t="s">
        <v>87</v>
      </c>
      <c r="F35" s="37"/>
      <c r="G35" s="36" t="s">
        <v>43</v>
      </c>
      <c r="H35" s="38" t="s">
        <v>89</v>
      </c>
    </row>
    <row r="36" spans="1:8">
      <c r="A36" s="42" t="s">
        <v>60</v>
      </c>
      <c r="B36" s="43">
        <v>46381</v>
      </c>
      <c r="C36" s="44" t="s">
        <v>68</v>
      </c>
      <c r="D36" s="44" t="s">
        <v>65</v>
      </c>
      <c r="E36" s="45" t="s">
        <v>88</v>
      </c>
      <c r="F36" s="46"/>
      <c r="G36" s="45" t="s">
        <v>43</v>
      </c>
      <c r="H36" s="47" t="s">
        <v>89</v>
      </c>
    </row>
    <row r="37" spans="1:8">
      <c r="A37" s="53" t="s">
        <v>60</v>
      </c>
      <c r="B37" s="54">
        <v>46023</v>
      </c>
      <c r="C37" s="55" t="s">
        <v>64</v>
      </c>
      <c r="D37" s="55" t="s">
        <v>65</v>
      </c>
      <c r="E37" s="55" t="s">
        <v>100</v>
      </c>
      <c r="F37" s="56"/>
      <c r="G37" s="55" t="s">
        <v>41</v>
      </c>
      <c r="H37" s="57" t="s">
        <v>101</v>
      </c>
    </row>
    <row r="38" spans="1:8">
      <c r="A38" s="58" t="s">
        <v>60</v>
      </c>
      <c r="B38" s="59">
        <v>46069</v>
      </c>
      <c r="C38" s="60" t="s">
        <v>77</v>
      </c>
      <c r="D38" s="60" t="s">
        <v>65</v>
      </c>
      <c r="E38" s="60" t="s">
        <v>102</v>
      </c>
      <c r="F38" s="61"/>
      <c r="G38" s="60" t="s">
        <v>41</v>
      </c>
      <c r="H38" s="62" t="s">
        <v>101</v>
      </c>
    </row>
    <row r="39" spans="1:8">
      <c r="A39" s="58" t="s">
        <v>60</v>
      </c>
      <c r="B39" s="59">
        <v>46070</v>
      </c>
      <c r="C39" s="60" t="s">
        <v>86</v>
      </c>
      <c r="D39" s="60" t="s">
        <v>65</v>
      </c>
      <c r="E39" s="60" t="s">
        <v>102</v>
      </c>
      <c r="F39" s="61"/>
      <c r="G39" s="60" t="s">
        <v>41</v>
      </c>
      <c r="H39" s="62" t="s">
        <v>101</v>
      </c>
    </row>
    <row r="40" spans="1:8">
      <c r="A40" s="58" t="s">
        <v>60</v>
      </c>
      <c r="B40" s="59">
        <v>46105</v>
      </c>
      <c r="C40" s="60" t="s">
        <v>86</v>
      </c>
      <c r="D40" s="60" t="s">
        <v>65</v>
      </c>
      <c r="E40" s="60" t="s">
        <v>103</v>
      </c>
      <c r="F40" s="61"/>
      <c r="G40" s="60" t="s">
        <v>41</v>
      </c>
      <c r="H40" s="62" t="s">
        <v>101</v>
      </c>
    </row>
    <row r="41" spans="1:8">
      <c r="A41" s="58" t="s">
        <v>60</v>
      </c>
      <c r="B41" s="59">
        <v>46114</v>
      </c>
      <c r="C41" s="60" t="s">
        <v>64</v>
      </c>
      <c r="D41" s="60" t="s">
        <v>65</v>
      </c>
      <c r="E41" s="60" t="s">
        <v>104</v>
      </c>
      <c r="F41" s="61"/>
      <c r="G41" s="60" t="s">
        <v>41</v>
      </c>
      <c r="H41" s="62" t="s">
        <v>101</v>
      </c>
    </row>
    <row r="42" spans="1:8">
      <c r="A42" s="58" t="s">
        <v>60</v>
      </c>
      <c r="B42" s="59">
        <v>46115</v>
      </c>
      <c r="C42" s="60" t="s">
        <v>68</v>
      </c>
      <c r="D42" s="60" t="s">
        <v>65</v>
      </c>
      <c r="E42" s="60" t="s">
        <v>69</v>
      </c>
      <c r="F42" s="61"/>
      <c r="G42" s="60" t="s">
        <v>41</v>
      </c>
      <c r="H42" s="62" t="s">
        <v>101</v>
      </c>
    </row>
    <row r="43" spans="1:8">
      <c r="A43" s="58" t="s">
        <v>60</v>
      </c>
      <c r="B43" s="59">
        <v>46143</v>
      </c>
      <c r="C43" s="60" t="s">
        <v>68</v>
      </c>
      <c r="D43" s="60" t="s">
        <v>65</v>
      </c>
      <c r="E43" s="60" t="s">
        <v>105</v>
      </c>
      <c r="F43" s="61"/>
      <c r="G43" s="60" t="s">
        <v>41</v>
      </c>
      <c r="H43" s="62" t="s">
        <v>101</v>
      </c>
    </row>
    <row r="44" spans="1:8">
      <c r="A44" s="58" t="s">
        <v>60</v>
      </c>
      <c r="B44" s="59">
        <v>46167</v>
      </c>
      <c r="C44" s="60" t="s">
        <v>77</v>
      </c>
      <c r="D44" s="60" t="s">
        <v>65</v>
      </c>
      <c r="E44" s="60" t="s">
        <v>106</v>
      </c>
      <c r="F44" s="61"/>
      <c r="G44" s="60" t="s">
        <v>41</v>
      </c>
      <c r="H44" s="62" t="s">
        <v>101</v>
      </c>
    </row>
    <row r="45" spans="1:8">
      <c r="A45" s="58" t="s">
        <v>60</v>
      </c>
      <c r="B45" s="59">
        <v>46188</v>
      </c>
      <c r="C45" s="60" t="s">
        <v>77</v>
      </c>
      <c r="D45" s="60" t="s">
        <v>65</v>
      </c>
      <c r="E45" s="60" t="s">
        <v>107</v>
      </c>
      <c r="F45" s="61"/>
      <c r="G45" s="60" t="s">
        <v>41</v>
      </c>
      <c r="H45" s="62" t="s">
        <v>101</v>
      </c>
    </row>
    <row r="46" spans="1:8">
      <c r="A46" s="58" t="s">
        <v>60</v>
      </c>
      <c r="B46" s="59">
        <v>46193</v>
      </c>
      <c r="C46" s="60" t="s">
        <v>70</v>
      </c>
      <c r="D46" s="60" t="s">
        <v>71</v>
      </c>
      <c r="E46" s="60" t="s">
        <v>108</v>
      </c>
      <c r="F46" s="61"/>
      <c r="G46" s="60" t="s">
        <v>41</v>
      </c>
      <c r="H46" s="62" t="s">
        <v>101</v>
      </c>
    </row>
    <row r="47" spans="1:8">
      <c r="A47" s="58" t="s">
        <v>60</v>
      </c>
      <c r="B47" s="59">
        <v>46212</v>
      </c>
      <c r="C47" s="60" t="s">
        <v>64</v>
      </c>
      <c r="D47" s="60" t="s">
        <v>65</v>
      </c>
      <c r="E47" s="60" t="s">
        <v>81</v>
      </c>
      <c r="F47" s="61"/>
      <c r="G47" s="60" t="s">
        <v>41</v>
      </c>
      <c r="H47" s="62" t="s">
        <v>101</v>
      </c>
    </row>
    <row r="48" spans="1:8">
      <c r="A48" s="58" t="s">
        <v>109</v>
      </c>
      <c r="B48" s="59">
        <v>46228</v>
      </c>
      <c r="C48" s="60" t="s">
        <v>70</v>
      </c>
      <c r="D48" s="60" t="s">
        <v>71</v>
      </c>
      <c r="E48" s="60" t="s">
        <v>110</v>
      </c>
      <c r="F48" s="60" t="s">
        <v>111</v>
      </c>
      <c r="G48" s="60" t="s">
        <v>41</v>
      </c>
      <c r="H48" s="62" t="s">
        <v>101</v>
      </c>
    </row>
    <row r="49" spans="1:8">
      <c r="A49" s="58" t="s">
        <v>60</v>
      </c>
      <c r="B49" s="59">
        <v>46251</v>
      </c>
      <c r="C49" s="60" t="s">
        <v>77</v>
      </c>
      <c r="D49" s="60" t="s">
        <v>65</v>
      </c>
      <c r="E49" s="60" t="s">
        <v>112</v>
      </c>
      <c r="F49" s="61"/>
      <c r="G49" s="60" t="s">
        <v>41</v>
      </c>
      <c r="H49" s="62" t="s">
        <v>101</v>
      </c>
    </row>
    <row r="50" spans="1:8">
      <c r="A50" s="58" t="s">
        <v>60</v>
      </c>
      <c r="B50" s="59">
        <v>46307</v>
      </c>
      <c r="C50" s="60" t="s">
        <v>77</v>
      </c>
      <c r="D50" s="60" t="s">
        <v>65</v>
      </c>
      <c r="E50" s="60" t="s">
        <v>113</v>
      </c>
      <c r="F50" s="61"/>
      <c r="G50" s="60" t="s">
        <v>41</v>
      </c>
      <c r="H50" s="62" t="s">
        <v>101</v>
      </c>
    </row>
    <row r="51" spans="1:8">
      <c r="A51" s="58" t="s">
        <v>60</v>
      </c>
      <c r="B51" s="59">
        <v>46349</v>
      </c>
      <c r="C51" s="60" t="s">
        <v>77</v>
      </c>
      <c r="D51" s="60" t="s">
        <v>65</v>
      </c>
      <c r="E51" s="60" t="s">
        <v>114</v>
      </c>
      <c r="F51" s="61"/>
      <c r="G51" s="60" t="s">
        <v>41</v>
      </c>
      <c r="H51" s="62" t="s">
        <v>101</v>
      </c>
    </row>
    <row r="52" spans="1:8">
      <c r="A52" s="58" t="s">
        <v>60</v>
      </c>
      <c r="B52" s="59">
        <v>46364</v>
      </c>
      <c r="C52" s="60" t="s">
        <v>86</v>
      </c>
      <c r="D52" s="60" t="s">
        <v>65</v>
      </c>
      <c r="E52" s="60" t="s">
        <v>115</v>
      </c>
      <c r="F52" s="61"/>
      <c r="G52" s="60" t="s">
        <v>41</v>
      </c>
      <c r="H52" s="62" t="s">
        <v>101</v>
      </c>
    </row>
    <row r="53" spans="1:8">
      <c r="A53" s="63" t="s">
        <v>60</v>
      </c>
      <c r="B53" s="64">
        <v>46381</v>
      </c>
      <c r="C53" s="65" t="s">
        <v>68</v>
      </c>
      <c r="D53" s="65" t="s">
        <v>65</v>
      </c>
      <c r="E53" s="65" t="s">
        <v>88</v>
      </c>
      <c r="F53" s="66"/>
      <c r="G53" s="65" t="s">
        <v>41</v>
      </c>
      <c r="H53" s="47" t="s">
        <v>101</v>
      </c>
    </row>
    <row r="54" spans="1:8">
      <c r="A54" s="48" t="s">
        <v>60</v>
      </c>
      <c r="B54" s="49">
        <v>46023</v>
      </c>
      <c r="C54" s="50" t="s">
        <v>64</v>
      </c>
      <c r="D54" s="50" t="s">
        <v>65</v>
      </c>
      <c r="E54" s="50" t="s">
        <v>116</v>
      </c>
      <c r="F54" s="50" t="s">
        <v>117</v>
      </c>
      <c r="G54" s="50" t="s">
        <v>118</v>
      </c>
      <c r="H54" s="52" t="s">
        <v>119</v>
      </c>
    </row>
    <row r="55" spans="1:8">
      <c r="A55" s="34" t="s">
        <v>60</v>
      </c>
      <c r="B55" s="35">
        <v>46041</v>
      </c>
      <c r="C55" s="36" t="s">
        <v>77</v>
      </c>
      <c r="D55" s="36" t="s">
        <v>65</v>
      </c>
      <c r="E55" s="36" t="s">
        <v>120</v>
      </c>
      <c r="F55" s="36" t="s">
        <v>121</v>
      </c>
      <c r="G55" s="36" t="s">
        <v>118</v>
      </c>
      <c r="H55" s="38" t="s">
        <v>119</v>
      </c>
    </row>
    <row r="56" spans="1:8">
      <c r="A56" s="34" t="s">
        <v>60</v>
      </c>
      <c r="B56" s="35">
        <v>46069</v>
      </c>
      <c r="C56" s="36" t="s">
        <v>77</v>
      </c>
      <c r="D56" s="36" t="s">
        <v>65</v>
      </c>
      <c r="E56" s="36" t="s">
        <v>122</v>
      </c>
      <c r="F56" s="36" t="s">
        <v>121</v>
      </c>
      <c r="G56" s="36" t="s">
        <v>118</v>
      </c>
      <c r="H56" s="38" t="s">
        <v>119</v>
      </c>
    </row>
    <row r="57" spans="1:8" ht="30.75">
      <c r="A57" s="34" t="s">
        <v>60</v>
      </c>
      <c r="B57" s="35">
        <v>46167</v>
      </c>
      <c r="C57" s="36" t="s">
        <v>77</v>
      </c>
      <c r="D57" s="36" t="s">
        <v>65</v>
      </c>
      <c r="E57" s="67" t="s">
        <v>123</v>
      </c>
      <c r="F57" s="36" t="s">
        <v>117</v>
      </c>
      <c r="G57" s="36" t="s">
        <v>118</v>
      </c>
      <c r="H57" s="38" t="s">
        <v>119</v>
      </c>
    </row>
    <row r="58" spans="1:8" ht="60.75">
      <c r="A58" s="34" t="s">
        <v>60</v>
      </c>
      <c r="B58" s="35">
        <v>46192</v>
      </c>
      <c r="C58" s="36" t="s">
        <v>68</v>
      </c>
      <c r="D58" s="36" t="s">
        <v>65</v>
      </c>
      <c r="E58" s="67" t="s">
        <v>124</v>
      </c>
      <c r="F58" s="36" t="s">
        <v>121</v>
      </c>
      <c r="G58" s="36" t="s">
        <v>118</v>
      </c>
      <c r="H58" s="38" t="s">
        <v>119</v>
      </c>
    </row>
    <row r="59" spans="1:8">
      <c r="A59" s="34" t="s">
        <v>60</v>
      </c>
      <c r="B59" s="35">
        <v>46206</v>
      </c>
      <c r="C59" s="36" t="s">
        <v>68</v>
      </c>
      <c r="D59" s="36" t="s">
        <v>65</v>
      </c>
      <c r="E59" s="40" t="s">
        <v>81</v>
      </c>
      <c r="F59" s="36" t="s">
        <v>117</v>
      </c>
      <c r="G59" s="36" t="s">
        <v>118</v>
      </c>
      <c r="H59" s="38" t="s">
        <v>119</v>
      </c>
    </row>
    <row r="60" spans="1:8">
      <c r="A60" s="34" t="s">
        <v>60</v>
      </c>
      <c r="B60" s="35">
        <v>46272</v>
      </c>
      <c r="C60" s="36" t="s">
        <v>77</v>
      </c>
      <c r="D60" s="36" t="s">
        <v>65</v>
      </c>
      <c r="E60" s="36" t="s">
        <v>105</v>
      </c>
      <c r="F60" s="36" t="s">
        <v>117</v>
      </c>
      <c r="G60" s="36" t="s">
        <v>118</v>
      </c>
      <c r="H60" s="38" t="s">
        <v>119</v>
      </c>
    </row>
    <row r="61" spans="1:8">
      <c r="A61" s="34" t="s">
        <v>60</v>
      </c>
      <c r="B61" s="35">
        <v>46307</v>
      </c>
      <c r="C61" s="36" t="s">
        <v>77</v>
      </c>
      <c r="D61" s="36" t="s">
        <v>65</v>
      </c>
      <c r="E61" s="36" t="s">
        <v>125</v>
      </c>
      <c r="F61" s="36" t="s">
        <v>121</v>
      </c>
      <c r="G61" s="36" t="s">
        <v>118</v>
      </c>
      <c r="H61" s="38" t="s">
        <v>119</v>
      </c>
    </row>
    <row r="62" spans="1:8">
      <c r="A62" s="34" t="s">
        <v>60</v>
      </c>
      <c r="B62" s="35">
        <v>46352</v>
      </c>
      <c r="C62" s="36" t="s">
        <v>64</v>
      </c>
      <c r="D62" s="36" t="s">
        <v>65</v>
      </c>
      <c r="E62" s="36" t="s">
        <v>126</v>
      </c>
      <c r="F62" s="36" t="s">
        <v>117</v>
      </c>
      <c r="G62" s="36" t="s">
        <v>118</v>
      </c>
      <c r="H62" s="38" t="s">
        <v>119</v>
      </c>
    </row>
    <row r="63" spans="1:8" ht="45.75">
      <c r="A63" s="34" t="s">
        <v>60</v>
      </c>
      <c r="B63" s="35">
        <v>46353</v>
      </c>
      <c r="C63" s="36" t="s">
        <v>68</v>
      </c>
      <c r="D63" s="36" t="s">
        <v>65</v>
      </c>
      <c r="E63" s="67" t="s">
        <v>127</v>
      </c>
      <c r="F63" s="36" t="s">
        <v>121</v>
      </c>
      <c r="G63" s="36" t="s">
        <v>118</v>
      </c>
      <c r="H63" s="38" t="s">
        <v>119</v>
      </c>
    </row>
    <row r="64" spans="1:8" ht="30.75">
      <c r="A64" s="68" t="s">
        <v>60</v>
      </c>
      <c r="B64" s="43">
        <v>46381</v>
      </c>
      <c r="C64" s="44" t="s">
        <v>68</v>
      </c>
      <c r="D64" s="44" t="s">
        <v>65</v>
      </c>
      <c r="E64" s="69" t="s">
        <v>88</v>
      </c>
      <c r="F64" s="44" t="s">
        <v>117</v>
      </c>
      <c r="G64" s="44" t="s">
        <v>118</v>
      </c>
      <c r="H64" s="47" t="s">
        <v>119</v>
      </c>
    </row>
    <row r="65" spans="1:8">
      <c r="A65" s="70" t="s">
        <v>28</v>
      </c>
      <c r="B65" s="71">
        <v>46023</v>
      </c>
      <c r="C65" s="72" t="s">
        <v>64</v>
      </c>
      <c r="D65" s="73" t="s">
        <v>65</v>
      </c>
      <c r="E65" s="73" t="s">
        <v>128</v>
      </c>
      <c r="F65" s="73" t="s">
        <v>129</v>
      </c>
      <c r="G65" s="73" t="s">
        <v>39</v>
      </c>
      <c r="H65" s="74" t="s">
        <v>130</v>
      </c>
    </row>
    <row r="66" spans="1:8">
      <c r="A66" s="75" t="s">
        <v>28</v>
      </c>
      <c r="B66" s="76">
        <v>46036</v>
      </c>
      <c r="C66" s="77" t="s">
        <v>131</v>
      </c>
      <c r="D66" s="78" t="s">
        <v>65</v>
      </c>
      <c r="E66" s="78" t="s">
        <v>132</v>
      </c>
      <c r="F66" s="78" t="s">
        <v>133</v>
      </c>
      <c r="G66" s="78" t="s">
        <v>39</v>
      </c>
      <c r="H66" s="79" t="s">
        <v>130</v>
      </c>
    </row>
    <row r="67" spans="1:8">
      <c r="A67" s="75" t="s">
        <v>28</v>
      </c>
      <c r="B67" s="76">
        <v>46048</v>
      </c>
      <c r="C67" s="77" t="s">
        <v>77</v>
      </c>
      <c r="D67" s="78" t="s">
        <v>65</v>
      </c>
      <c r="E67" s="78" t="s">
        <v>134</v>
      </c>
      <c r="F67" s="78" t="s">
        <v>129</v>
      </c>
      <c r="G67" s="78" t="s">
        <v>39</v>
      </c>
      <c r="H67" s="79" t="s">
        <v>130</v>
      </c>
    </row>
    <row r="68" spans="1:8">
      <c r="A68" s="75" t="s">
        <v>28</v>
      </c>
      <c r="B68" s="76">
        <v>46084</v>
      </c>
      <c r="C68" s="77" t="s">
        <v>86</v>
      </c>
      <c r="D68" s="78" t="s">
        <v>65</v>
      </c>
      <c r="E68" s="78" t="s">
        <v>135</v>
      </c>
      <c r="F68" s="78" t="s">
        <v>133</v>
      </c>
      <c r="G68" s="78" t="s">
        <v>39</v>
      </c>
      <c r="H68" s="79" t="s">
        <v>130</v>
      </c>
    </row>
    <row r="69" spans="1:8">
      <c r="A69" s="75" t="s">
        <v>28</v>
      </c>
      <c r="B69" s="76">
        <v>46100</v>
      </c>
      <c r="C69" s="77" t="s">
        <v>64</v>
      </c>
      <c r="D69" s="78" t="s">
        <v>65</v>
      </c>
      <c r="E69" s="78" t="s">
        <v>136</v>
      </c>
      <c r="F69" s="78" t="s">
        <v>133</v>
      </c>
      <c r="G69" s="78" t="s">
        <v>39</v>
      </c>
      <c r="H69" s="79" t="s">
        <v>130</v>
      </c>
    </row>
    <row r="70" spans="1:8">
      <c r="A70" s="75" t="s">
        <v>28</v>
      </c>
      <c r="B70" s="76">
        <v>46112</v>
      </c>
      <c r="C70" s="77" t="s">
        <v>86</v>
      </c>
      <c r="D70" s="78" t="s">
        <v>65</v>
      </c>
      <c r="E70" s="78" t="s">
        <v>137</v>
      </c>
      <c r="F70" s="78" t="s">
        <v>133</v>
      </c>
      <c r="G70" s="78" t="s">
        <v>39</v>
      </c>
      <c r="H70" s="79" t="s">
        <v>130</v>
      </c>
    </row>
    <row r="71" spans="1:8">
      <c r="A71" s="75" t="s">
        <v>28</v>
      </c>
      <c r="B71" s="76">
        <v>46115</v>
      </c>
      <c r="C71" s="77" t="s">
        <v>68</v>
      </c>
      <c r="D71" s="78" t="s">
        <v>65</v>
      </c>
      <c r="E71" s="78" t="s">
        <v>69</v>
      </c>
      <c r="F71" s="78" t="s">
        <v>133</v>
      </c>
      <c r="G71" s="78" t="s">
        <v>39</v>
      </c>
      <c r="H71" s="79" t="s">
        <v>130</v>
      </c>
    </row>
    <row r="72" spans="1:8">
      <c r="A72" s="75" t="s">
        <v>28</v>
      </c>
      <c r="B72" s="76">
        <v>46126</v>
      </c>
      <c r="C72" s="77" t="s">
        <v>86</v>
      </c>
      <c r="D72" s="78" t="s">
        <v>65</v>
      </c>
      <c r="E72" s="78" t="s">
        <v>138</v>
      </c>
      <c r="F72" s="78" t="s">
        <v>133</v>
      </c>
      <c r="G72" s="78" t="s">
        <v>39</v>
      </c>
      <c r="H72" s="79" t="s">
        <v>130</v>
      </c>
    </row>
    <row r="73" spans="1:8">
      <c r="A73" s="75" t="s">
        <v>28</v>
      </c>
      <c r="B73" s="76">
        <v>46143</v>
      </c>
      <c r="C73" s="77" t="s">
        <v>68</v>
      </c>
      <c r="D73" s="78" t="s">
        <v>65</v>
      </c>
      <c r="E73" s="78" t="s">
        <v>73</v>
      </c>
      <c r="F73" s="78" t="s">
        <v>129</v>
      </c>
      <c r="G73" s="78" t="s">
        <v>39</v>
      </c>
      <c r="H73" s="79" t="s">
        <v>130</v>
      </c>
    </row>
    <row r="74" spans="1:8">
      <c r="A74" s="75" t="s">
        <v>28</v>
      </c>
      <c r="B74" s="76">
        <v>46169</v>
      </c>
      <c r="C74" s="77" t="s">
        <v>131</v>
      </c>
      <c r="D74" s="78" t="s">
        <v>65</v>
      </c>
      <c r="E74" s="78" t="s">
        <v>139</v>
      </c>
      <c r="F74" s="78" t="s">
        <v>133</v>
      </c>
      <c r="G74" s="78" t="s">
        <v>39</v>
      </c>
      <c r="H74" s="79" t="s">
        <v>130</v>
      </c>
    </row>
    <row r="75" spans="1:8">
      <c r="A75" s="75" t="s">
        <v>28</v>
      </c>
      <c r="B75" s="76">
        <v>46175</v>
      </c>
      <c r="C75" s="77" t="s">
        <v>86</v>
      </c>
      <c r="D75" s="78" t="s">
        <v>65</v>
      </c>
      <c r="E75" s="78" t="s">
        <v>140</v>
      </c>
      <c r="F75" s="78" t="s">
        <v>141</v>
      </c>
      <c r="G75" s="78" t="s">
        <v>39</v>
      </c>
      <c r="H75" s="79" t="s">
        <v>130</v>
      </c>
    </row>
    <row r="76" spans="1:8">
      <c r="A76" s="75" t="s">
        <v>28</v>
      </c>
      <c r="B76" s="76">
        <v>46219</v>
      </c>
      <c r="C76" s="77" t="s">
        <v>64</v>
      </c>
      <c r="D76" s="78" t="s">
        <v>65</v>
      </c>
      <c r="E76" s="78" t="s">
        <v>142</v>
      </c>
      <c r="F76" s="78" t="s">
        <v>133</v>
      </c>
      <c r="G76" s="78" t="s">
        <v>39</v>
      </c>
      <c r="H76" s="79" t="s">
        <v>130</v>
      </c>
    </row>
    <row r="77" spans="1:8">
      <c r="A77" s="75" t="s">
        <v>28</v>
      </c>
      <c r="B77" s="76">
        <v>46262</v>
      </c>
      <c r="C77" s="77" t="s">
        <v>68</v>
      </c>
      <c r="D77" s="78" t="s">
        <v>65</v>
      </c>
      <c r="E77" s="78" t="s">
        <v>143</v>
      </c>
      <c r="F77" s="78" t="s">
        <v>133</v>
      </c>
      <c r="G77" s="78" t="s">
        <v>39</v>
      </c>
      <c r="H77" s="79" t="s">
        <v>130</v>
      </c>
    </row>
    <row r="78" spans="1:8">
      <c r="A78" s="75" t="s">
        <v>28</v>
      </c>
      <c r="B78" s="76">
        <v>46279</v>
      </c>
      <c r="C78" s="77" t="s">
        <v>77</v>
      </c>
      <c r="D78" s="78" t="s">
        <v>65</v>
      </c>
      <c r="E78" s="78" t="s">
        <v>144</v>
      </c>
      <c r="F78" s="78" t="s">
        <v>129</v>
      </c>
      <c r="G78" s="78" t="s">
        <v>39</v>
      </c>
      <c r="H78" s="79" t="s">
        <v>130</v>
      </c>
    </row>
    <row r="79" spans="1:8">
      <c r="A79" s="75" t="s">
        <v>28</v>
      </c>
      <c r="B79" s="76">
        <v>46290</v>
      </c>
      <c r="C79" s="77" t="s">
        <v>68</v>
      </c>
      <c r="D79" s="78" t="s">
        <v>65</v>
      </c>
      <c r="E79" s="78" t="s">
        <v>145</v>
      </c>
      <c r="F79" s="78" t="s">
        <v>133</v>
      </c>
      <c r="G79" s="78" t="s">
        <v>39</v>
      </c>
      <c r="H79" s="79" t="s">
        <v>130</v>
      </c>
    </row>
    <row r="80" spans="1:8">
      <c r="A80" s="75" t="s">
        <v>28</v>
      </c>
      <c r="B80" s="76">
        <v>46297</v>
      </c>
      <c r="C80" s="77" t="s">
        <v>68</v>
      </c>
      <c r="D80" s="78" t="s">
        <v>65</v>
      </c>
      <c r="E80" s="78" t="s">
        <v>146</v>
      </c>
      <c r="F80" s="78" t="s">
        <v>129</v>
      </c>
      <c r="G80" s="78" t="s">
        <v>39</v>
      </c>
      <c r="H80" s="79" t="s">
        <v>130</v>
      </c>
    </row>
    <row r="81" spans="1:8">
      <c r="A81" s="75" t="s">
        <v>28</v>
      </c>
      <c r="B81" s="76">
        <v>46315</v>
      </c>
      <c r="C81" s="77" t="s">
        <v>86</v>
      </c>
      <c r="D81" s="78" t="s">
        <v>65</v>
      </c>
      <c r="E81" s="78" t="s">
        <v>147</v>
      </c>
      <c r="F81" s="80" t="s">
        <v>133</v>
      </c>
      <c r="G81" s="78" t="s">
        <v>39</v>
      </c>
      <c r="H81" s="79" t="s">
        <v>130</v>
      </c>
    </row>
    <row r="82" spans="1:8">
      <c r="A82" s="75" t="s">
        <v>28</v>
      </c>
      <c r="B82" s="76">
        <v>46332</v>
      </c>
      <c r="C82" s="77" t="s">
        <v>68</v>
      </c>
      <c r="D82" s="78" t="s">
        <v>65</v>
      </c>
      <c r="E82" s="78" t="s">
        <v>148</v>
      </c>
      <c r="F82" s="80" t="s">
        <v>133</v>
      </c>
      <c r="G82" s="78" t="s">
        <v>39</v>
      </c>
      <c r="H82" s="79" t="s">
        <v>130</v>
      </c>
    </row>
    <row r="83" spans="1:8" ht="30.75">
      <c r="A83" s="81" t="s">
        <v>28</v>
      </c>
      <c r="B83" s="82">
        <v>46381</v>
      </c>
      <c r="C83" s="83" t="s">
        <v>68</v>
      </c>
      <c r="D83" s="84" t="s">
        <v>65</v>
      </c>
      <c r="E83" s="84" t="s">
        <v>149</v>
      </c>
      <c r="F83" s="85" t="s">
        <v>129</v>
      </c>
      <c r="G83" s="84" t="s">
        <v>39</v>
      </c>
      <c r="H83" s="86" t="s">
        <v>130</v>
      </c>
    </row>
    <row r="84" spans="1:8">
      <c r="A84" s="48" t="s">
        <v>60</v>
      </c>
      <c r="B84" s="49">
        <v>46023</v>
      </c>
      <c r="C84" s="50" t="s">
        <v>64</v>
      </c>
      <c r="D84" s="50" t="s">
        <v>65</v>
      </c>
      <c r="E84" s="50" t="s">
        <v>66</v>
      </c>
      <c r="F84" s="51"/>
      <c r="G84" s="50" t="s">
        <v>150</v>
      </c>
      <c r="H84" s="87" t="s">
        <v>151</v>
      </c>
    </row>
    <row r="85" spans="1:8">
      <c r="A85" s="34" t="s">
        <v>60</v>
      </c>
      <c r="B85" s="35">
        <v>46055</v>
      </c>
      <c r="C85" s="36" t="s">
        <v>77</v>
      </c>
      <c r="D85" s="36" t="s">
        <v>65</v>
      </c>
      <c r="E85" s="36" t="s">
        <v>152</v>
      </c>
      <c r="F85" s="37"/>
      <c r="G85" s="36" t="s">
        <v>150</v>
      </c>
      <c r="H85" s="88" t="s">
        <v>151</v>
      </c>
    </row>
    <row r="86" spans="1:8">
      <c r="A86" s="34" t="s">
        <v>60</v>
      </c>
      <c r="B86" s="35">
        <v>46097</v>
      </c>
      <c r="C86" s="36" t="s">
        <v>77</v>
      </c>
      <c r="D86" s="36" t="s">
        <v>65</v>
      </c>
      <c r="E86" s="36" t="s">
        <v>153</v>
      </c>
      <c r="F86" s="37"/>
      <c r="G86" s="36" t="s">
        <v>150</v>
      </c>
      <c r="H86" s="88" t="s">
        <v>151</v>
      </c>
    </row>
    <row r="87" spans="1:8">
      <c r="A87" s="34" t="s">
        <v>60</v>
      </c>
      <c r="B87" s="35">
        <v>46114</v>
      </c>
      <c r="C87" s="36" t="s">
        <v>64</v>
      </c>
      <c r="D87" s="36" t="s">
        <v>65</v>
      </c>
      <c r="E87" s="36" t="s">
        <v>92</v>
      </c>
      <c r="F87" s="37"/>
      <c r="G87" s="36" t="s">
        <v>150</v>
      </c>
      <c r="H87" s="88" t="s">
        <v>151</v>
      </c>
    </row>
    <row r="88" spans="1:8">
      <c r="A88" s="34" t="s">
        <v>60</v>
      </c>
      <c r="B88" s="35">
        <v>46115</v>
      </c>
      <c r="C88" s="36" t="s">
        <v>68</v>
      </c>
      <c r="D88" s="36" t="s">
        <v>65</v>
      </c>
      <c r="E88" s="36" t="s">
        <v>69</v>
      </c>
      <c r="F88" s="37"/>
      <c r="G88" s="36" t="s">
        <v>150</v>
      </c>
      <c r="H88" s="88" t="s">
        <v>151</v>
      </c>
    </row>
    <row r="89" spans="1:8">
      <c r="A89" s="34" t="s">
        <v>60</v>
      </c>
      <c r="B89" s="35">
        <v>46143</v>
      </c>
      <c r="C89" s="36" t="s">
        <v>68</v>
      </c>
      <c r="D89" s="36" t="s">
        <v>65</v>
      </c>
      <c r="E89" s="36" t="s">
        <v>105</v>
      </c>
      <c r="F89" s="37"/>
      <c r="G89" s="36" t="s">
        <v>150</v>
      </c>
      <c r="H89" s="88" t="s">
        <v>151</v>
      </c>
    </row>
    <row r="90" spans="1:8">
      <c r="A90" s="34" t="s">
        <v>60</v>
      </c>
      <c r="B90" s="35">
        <v>46152</v>
      </c>
      <c r="C90" s="36" t="s">
        <v>75</v>
      </c>
      <c r="D90" s="36" t="s">
        <v>71</v>
      </c>
      <c r="E90" s="89" t="s">
        <v>154</v>
      </c>
      <c r="F90" s="41"/>
      <c r="G90" s="36" t="s">
        <v>150</v>
      </c>
      <c r="H90" s="88" t="s">
        <v>151</v>
      </c>
    </row>
    <row r="91" spans="1:8">
      <c r="A91" s="34" t="s">
        <v>60</v>
      </c>
      <c r="B91" s="35">
        <v>46281</v>
      </c>
      <c r="C91" s="36" t="s">
        <v>131</v>
      </c>
      <c r="D91" s="36" t="s">
        <v>65</v>
      </c>
      <c r="E91" s="36" t="s">
        <v>155</v>
      </c>
      <c r="F91" s="37"/>
      <c r="G91" s="36" t="s">
        <v>150</v>
      </c>
      <c r="H91" s="88" t="s">
        <v>151</v>
      </c>
    </row>
    <row r="92" spans="1:8">
      <c r="A92" s="34" t="s">
        <v>60</v>
      </c>
      <c r="B92" s="35">
        <v>46328</v>
      </c>
      <c r="C92" s="36" t="s">
        <v>77</v>
      </c>
      <c r="D92" s="36" t="s">
        <v>65</v>
      </c>
      <c r="E92" s="36" t="s">
        <v>156</v>
      </c>
      <c r="F92" s="37"/>
      <c r="G92" s="36" t="s">
        <v>150</v>
      </c>
      <c r="H92" s="88" t="s">
        <v>151</v>
      </c>
    </row>
    <row r="93" spans="1:8">
      <c r="A93" s="34" t="s">
        <v>60</v>
      </c>
      <c r="B93" s="35">
        <v>46342</v>
      </c>
      <c r="C93" s="36" t="s">
        <v>77</v>
      </c>
      <c r="D93" s="36" t="s">
        <v>65</v>
      </c>
      <c r="E93" s="36" t="s">
        <v>157</v>
      </c>
      <c r="F93" s="37"/>
      <c r="G93" s="36" t="s">
        <v>150</v>
      </c>
      <c r="H93" s="88" t="s">
        <v>151</v>
      </c>
    </row>
    <row r="94" spans="1:8">
      <c r="A94" s="68" t="s">
        <v>60</v>
      </c>
      <c r="B94" s="43">
        <v>46381</v>
      </c>
      <c r="C94" s="44" t="s">
        <v>68</v>
      </c>
      <c r="D94" s="44" t="s">
        <v>65</v>
      </c>
      <c r="E94" s="44" t="s">
        <v>88</v>
      </c>
      <c r="F94" s="90"/>
      <c r="G94" s="44" t="s">
        <v>150</v>
      </c>
      <c r="H94" s="91" t="s">
        <v>151</v>
      </c>
    </row>
  </sheetData>
  <autoFilter ref="A1:H94" xr:uid="{CAA4FE7E-0747-472C-B6C6-04D840BE76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A57B-D28A-4481-8AC7-17B89951E40F}">
  <dimension ref="A1:P29"/>
  <sheetViews>
    <sheetView workbookViewId="0"/>
  </sheetViews>
  <sheetFormatPr defaultRowHeight="15"/>
  <cols>
    <col min="1" max="1" width="14.28515625" customWidth="1"/>
    <col min="2" max="2" width="15.5703125" bestFit="1" customWidth="1"/>
    <col min="3" max="3" width="110.42578125" bestFit="1" customWidth="1"/>
    <col min="4" max="4" width="31" customWidth="1"/>
    <col min="5" max="5" width="39.28515625" bestFit="1" customWidth="1"/>
    <col min="6" max="6" width="5.7109375" bestFit="1" customWidth="1"/>
    <col min="7" max="7" width="54.42578125" bestFit="1" customWidth="1"/>
    <col min="8" max="8" width="16" bestFit="1" customWidth="1"/>
    <col min="9" max="9" width="11.85546875" bestFit="1" customWidth="1"/>
    <col min="10" max="10" width="11.85546875" customWidth="1"/>
    <col min="11" max="11" width="16.140625" bestFit="1" customWidth="1"/>
    <col min="12" max="12" width="16" bestFit="1" customWidth="1"/>
    <col min="13" max="14" width="13.140625" customWidth="1"/>
  </cols>
  <sheetData>
    <row r="1" spans="1:16" s="6" customFormat="1" ht="45.75">
      <c r="A1" s="4" t="s">
        <v>63</v>
      </c>
      <c r="B1" s="4" t="s">
        <v>158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165</v>
      </c>
      <c r="J1" s="4" t="s">
        <v>166</v>
      </c>
      <c r="K1" s="5" t="s">
        <v>1</v>
      </c>
      <c r="L1" s="5" t="s">
        <v>2</v>
      </c>
      <c r="M1" s="5" t="s">
        <v>167</v>
      </c>
      <c r="N1" s="5" t="s">
        <v>168</v>
      </c>
      <c r="O1" s="5" t="s">
        <v>169</v>
      </c>
      <c r="P1" s="94" t="s">
        <v>5</v>
      </c>
    </row>
    <row r="2" spans="1:16">
      <c r="A2" s="1">
        <v>704283</v>
      </c>
      <c r="B2" s="1" t="s">
        <v>170</v>
      </c>
      <c r="C2" s="1" t="s">
        <v>171</v>
      </c>
      <c r="D2" s="1" t="s">
        <v>172</v>
      </c>
      <c r="E2" s="1" t="s">
        <v>172</v>
      </c>
      <c r="F2" s="1" t="s">
        <v>5</v>
      </c>
      <c r="G2" s="1"/>
      <c r="H2" s="2">
        <v>45813.585416666669</v>
      </c>
      <c r="I2" s="1">
        <v>3</v>
      </c>
      <c r="J2" s="1"/>
      <c r="K2" s="2">
        <f>Velocity!$B$27</f>
        <v>46218</v>
      </c>
      <c r="L2" s="2">
        <f>Velocity!$C$27</f>
        <v>46231.999305555553</v>
      </c>
      <c r="M2" t="str">
        <f>IF(K2&lt;H2,"True","False")</f>
        <v>False</v>
      </c>
      <c r="N2">
        <f>IF(M2="False",I2,"")</f>
        <v>3</v>
      </c>
      <c r="O2" t="str">
        <f>IF(M2="True",I2,"")</f>
        <v/>
      </c>
      <c r="P2">
        <f>IF(J2&gt;0,"",I2)</f>
        <v>3</v>
      </c>
    </row>
    <row r="3" spans="1:16">
      <c r="A3" s="1">
        <v>735761</v>
      </c>
      <c r="B3" s="1" t="s">
        <v>170</v>
      </c>
      <c r="C3" s="1" t="s">
        <v>173</v>
      </c>
      <c r="D3" s="1" t="s">
        <v>174</v>
      </c>
      <c r="E3" s="1" t="s">
        <v>174</v>
      </c>
      <c r="F3" s="1" t="s">
        <v>5</v>
      </c>
      <c r="G3" s="1"/>
      <c r="H3" s="2">
        <v>45861.497916666667</v>
      </c>
      <c r="I3" s="1">
        <v>5</v>
      </c>
      <c r="J3" s="1"/>
      <c r="K3" s="2">
        <f>Velocity!$B$27</f>
        <v>46218</v>
      </c>
      <c r="L3" s="2">
        <f>Velocity!$C$27</f>
        <v>46231.999305555553</v>
      </c>
      <c r="M3" t="str">
        <f t="shared" ref="M3:M29" si="0">IF(K3&lt;H3,"True","False")</f>
        <v>False</v>
      </c>
      <c r="N3">
        <f t="shared" ref="N3:N29" si="1">IF(M3="False",I3,"")</f>
        <v>5</v>
      </c>
      <c r="O3" t="str">
        <f>IF(M3="True",I3,"")</f>
        <v/>
      </c>
      <c r="P3">
        <f t="shared" ref="P3:P29" si="2">IF(J3&gt;0,"",I3)</f>
        <v>5</v>
      </c>
    </row>
    <row r="4" spans="1:16">
      <c r="A4" s="1">
        <v>881577</v>
      </c>
      <c r="B4" s="1" t="s">
        <v>170</v>
      </c>
      <c r="C4" s="1" t="s">
        <v>175</v>
      </c>
      <c r="D4" s="1" t="s">
        <v>176</v>
      </c>
      <c r="E4" s="1" t="s">
        <v>176</v>
      </c>
      <c r="F4" s="1" t="s">
        <v>5</v>
      </c>
      <c r="G4" s="1"/>
      <c r="H4" s="2">
        <v>46063.904166666667</v>
      </c>
      <c r="I4" s="1">
        <v>1</v>
      </c>
      <c r="J4" s="1"/>
      <c r="K4" s="2">
        <f>Velocity!$B$27</f>
        <v>46218</v>
      </c>
      <c r="L4" s="2">
        <f>Velocity!$C$27</f>
        <v>46231.999305555553</v>
      </c>
      <c r="M4" t="str">
        <f t="shared" si="0"/>
        <v>False</v>
      </c>
      <c r="N4">
        <f t="shared" si="1"/>
        <v>1</v>
      </c>
      <c r="O4" t="str">
        <f>IF(M4="True",I4,"")</f>
        <v/>
      </c>
      <c r="P4">
        <f t="shared" si="2"/>
        <v>1</v>
      </c>
    </row>
    <row r="5" spans="1:16">
      <c r="A5" s="1">
        <v>931784</v>
      </c>
      <c r="B5" s="1" t="s">
        <v>170</v>
      </c>
      <c r="C5" s="1" t="s">
        <v>177</v>
      </c>
      <c r="D5" s="1" t="s">
        <v>178</v>
      </c>
      <c r="E5" s="1" t="s">
        <v>178</v>
      </c>
      <c r="F5" s="1" t="s">
        <v>5</v>
      </c>
      <c r="G5" s="1"/>
      <c r="H5" s="2">
        <v>46127.509722222225</v>
      </c>
      <c r="I5" s="1">
        <v>5</v>
      </c>
      <c r="J5" s="1"/>
      <c r="K5" s="2">
        <f>Velocity!$B$27</f>
        <v>46218</v>
      </c>
      <c r="L5" s="2">
        <f>Velocity!$C$27</f>
        <v>46231.999305555553</v>
      </c>
      <c r="M5" t="str">
        <f t="shared" si="0"/>
        <v>False</v>
      </c>
      <c r="N5">
        <f t="shared" si="1"/>
        <v>5</v>
      </c>
      <c r="O5" t="str">
        <f>IF(M5="True",I5,"")</f>
        <v/>
      </c>
      <c r="P5">
        <f t="shared" si="2"/>
        <v>5</v>
      </c>
    </row>
    <row r="6" spans="1:16">
      <c r="A6" s="1">
        <v>933951</v>
      </c>
      <c r="B6" s="1" t="s">
        <v>170</v>
      </c>
      <c r="C6" s="1" t="s">
        <v>179</v>
      </c>
      <c r="D6" s="1" t="s">
        <v>180</v>
      </c>
      <c r="E6" s="1" t="s">
        <v>180</v>
      </c>
      <c r="F6" s="1" t="s">
        <v>5</v>
      </c>
      <c r="G6" s="1"/>
      <c r="H6" s="2">
        <v>46129.236111111109</v>
      </c>
      <c r="I6" s="1">
        <v>5</v>
      </c>
      <c r="J6" s="1"/>
      <c r="K6" s="2">
        <f>Velocity!$B$27</f>
        <v>46218</v>
      </c>
      <c r="L6" s="2">
        <f>Velocity!$C$27</f>
        <v>46231.999305555553</v>
      </c>
      <c r="M6" t="str">
        <f t="shared" si="0"/>
        <v>False</v>
      </c>
      <c r="N6">
        <f t="shared" si="1"/>
        <v>5</v>
      </c>
      <c r="O6" t="str">
        <f>IF(M6="True",I6,"")</f>
        <v/>
      </c>
      <c r="P6">
        <f t="shared" si="2"/>
        <v>5</v>
      </c>
    </row>
    <row r="7" spans="1:16">
      <c r="A7" s="1">
        <v>944354</v>
      </c>
      <c r="B7" s="1" t="s">
        <v>170</v>
      </c>
      <c r="C7" s="1" t="s">
        <v>181</v>
      </c>
      <c r="D7" s="1" t="s">
        <v>178</v>
      </c>
      <c r="E7" s="1" t="s">
        <v>178</v>
      </c>
      <c r="F7" s="1" t="s">
        <v>5</v>
      </c>
      <c r="G7" s="1" t="s">
        <v>182</v>
      </c>
      <c r="H7" s="2">
        <v>46142.647916666669</v>
      </c>
      <c r="I7" s="1">
        <v>5</v>
      </c>
      <c r="J7" s="1"/>
      <c r="K7" s="2">
        <f>Velocity!$B$27</f>
        <v>46218</v>
      </c>
      <c r="L7" s="2">
        <f>Velocity!$C$27</f>
        <v>46231.999305555553</v>
      </c>
      <c r="M7" t="str">
        <f t="shared" si="0"/>
        <v>False</v>
      </c>
      <c r="N7">
        <f t="shared" si="1"/>
        <v>5</v>
      </c>
      <c r="O7" t="str">
        <f>IF(M7="True",I7,"")</f>
        <v/>
      </c>
      <c r="P7">
        <f t="shared" si="2"/>
        <v>5</v>
      </c>
    </row>
    <row r="8" spans="1:16">
      <c r="A8" s="1">
        <v>957732</v>
      </c>
      <c r="B8" s="1" t="s">
        <v>170</v>
      </c>
      <c r="C8" s="1" t="s">
        <v>183</v>
      </c>
      <c r="D8" s="1" t="s">
        <v>184</v>
      </c>
      <c r="E8" s="1" t="s">
        <v>184</v>
      </c>
      <c r="F8" s="1" t="s">
        <v>5</v>
      </c>
      <c r="G8" s="1" t="s">
        <v>185</v>
      </c>
      <c r="H8" s="2">
        <v>46162.701388888891</v>
      </c>
      <c r="I8" s="1">
        <v>2</v>
      </c>
      <c r="J8" s="1">
        <v>1</v>
      </c>
      <c r="K8" s="2">
        <f>Velocity!$B$27</f>
        <v>46218</v>
      </c>
      <c r="L8" s="2">
        <f>Velocity!$C$27</f>
        <v>46231.999305555553</v>
      </c>
      <c r="M8" t="str">
        <f t="shared" si="0"/>
        <v>False</v>
      </c>
      <c r="N8">
        <f t="shared" si="1"/>
        <v>2</v>
      </c>
      <c r="O8" t="str">
        <f>IF(M8="True",I8,"")</f>
        <v/>
      </c>
      <c r="P8" t="str">
        <f t="shared" si="2"/>
        <v/>
      </c>
    </row>
    <row r="9" spans="1:16">
      <c r="A9" s="1">
        <v>960470</v>
      </c>
      <c r="B9" s="1" t="s">
        <v>170</v>
      </c>
      <c r="C9" s="1" t="s">
        <v>186</v>
      </c>
      <c r="D9" s="1" t="s">
        <v>180</v>
      </c>
      <c r="E9" s="1" t="s">
        <v>187</v>
      </c>
      <c r="F9" s="1" t="s">
        <v>5</v>
      </c>
      <c r="G9" s="1" t="s">
        <v>188</v>
      </c>
      <c r="H9" s="2">
        <v>46168.705555555556</v>
      </c>
      <c r="I9" s="11">
        <v>3</v>
      </c>
      <c r="J9" s="11">
        <v>0</v>
      </c>
      <c r="K9" s="2">
        <f>Velocity!$B$27</f>
        <v>46218</v>
      </c>
      <c r="L9" s="2">
        <f>Velocity!$C$27</f>
        <v>46231.999305555553</v>
      </c>
      <c r="M9" t="str">
        <f t="shared" si="0"/>
        <v>False</v>
      </c>
      <c r="N9">
        <f t="shared" si="1"/>
        <v>3</v>
      </c>
      <c r="O9" t="str">
        <f>IF(M9="True",I9,"")</f>
        <v/>
      </c>
      <c r="P9">
        <f t="shared" si="2"/>
        <v>3</v>
      </c>
    </row>
    <row r="10" spans="1:16">
      <c r="A10" s="8">
        <v>971930</v>
      </c>
      <c r="B10" s="8" t="s">
        <v>170</v>
      </c>
      <c r="C10" s="8" t="s">
        <v>189</v>
      </c>
      <c r="D10" s="8" t="s">
        <v>190</v>
      </c>
      <c r="E10" s="8"/>
      <c r="F10" s="8" t="s">
        <v>5</v>
      </c>
      <c r="G10" s="8"/>
      <c r="H10" s="9">
        <v>46184.606249999997</v>
      </c>
      <c r="I10" s="8">
        <v>0</v>
      </c>
      <c r="J10" s="1"/>
      <c r="K10" s="9">
        <f>Velocity!$B$27</f>
        <v>46218</v>
      </c>
      <c r="L10" s="9">
        <f>Velocity!$C$27</f>
        <v>46231.999305555553</v>
      </c>
      <c r="M10" s="10" t="str">
        <f t="shared" si="0"/>
        <v>False</v>
      </c>
      <c r="N10">
        <f t="shared" si="1"/>
        <v>0</v>
      </c>
      <c r="O10" t="str">
        <f>IF(M10="True",I10,"")</f>
        <v/>
      </c>
      <c r="P10">
        <f t="shared" si="2"/>
        <v>0</v>
      </c>
    </row>
    <row r="11" spans="1:16">
      <c r="A11" s="1">
        <v>976504</v>
      </c>
      <c r="B11" s="1" t="s">
        <v>170</v>
      </c>
      <c r="C11" s="1" t="s">
        <v>191</v>
      </c>
      <c r="D11" s="1" t="s">
        <v>180</v>
      </c>
      <c r="E11" s="1" t="s">
        <v>180</v>
      </c>
      <c r="F11" s="1" t="s">
        <v>5</v>
      </c>
      <c r="G11" s="1" t="s">
        <v>192</v>
      </c>
      <c r="H11" s="2">
        <v>46190.593055555553</v>
      </c>
      <c r="I11" s="1">
        <v>3</v>
      </c>
      <c r="J11" s="1">
        <v>1</v>
      </c>
      <c r="K11" s="2">
        <f>Velocity!$B$27</f>
        <v>46218</v>
      </c>
      <c r="L11" s="2">
        <f>Velocity!$C$27</f>
        <v>46231.999305555553</v>
      </c>
      <c r="M11" t="str">
        <f t="shared" si="0"/>
        <v>False</v>
      </c>
      <c r="N11">
        <f t="shared" si="1"/>
        <v>3</v>
      </c>
      <c r="O11" t="str">
        <f>IF(M11="True",I11,"")</f>
        <v/>
      </c>
      <c r="P11" t="str">
        <f t="shared" si="2"/>
        <v/>
      </c>
    </row>
    <row r="12" spans="1:16">
      <c r="A12" s="1">
        <v>977929</v>
      </c>
      <c r="B12" s="1" t="s">
        <v>170</v>
      </c>
      <c r="C12" s="1" t="s">
        <v>193</v>
      </c>
      <c r="D12" s="1" t="s">
        <v>194</v>
      </c>
      <c r="E12" s="1" t="s">
        <v>194</v>
      </c>
      <c r="F12" s="1" t="s">
        <v>5</v>
      </c>
      <c r="G12" s="1"/>
      <c r="H12" s="2">
        <v>46191.413888888892</v>
      </c>
      <c r="I12" s="1">
        <v>5</v>
      </c>
      <c r="J12" s="1"/>
      <c r="K12" s="2">
        <f>Velocity!$B$27</f>
        <v>46218</v>
      </c>
      <c r="L12" s="2">
        <f>Velocity!$C$27</f>
        <v>46231.999305555553</v>
      </c>
      <c r="M12" t="str">
        <f t="shared" si="0"/>
        <v>False</v>
      </c>
      <c r="N12">
        <f t="shared" si="1"/>
        <v>5</v>
      </c>
      <c r="O12" t="str">
        <f>IF(M12="True",I12,"")</f>
        <v/>
      </c>
      <c r="P12">
        <f t="shared" si="2"/>
        <v>5</v>
      </c>
    </row>
    <row r="13" spans="1:16">
      <c r="A13" s="1">
        <v>985324</v>
      </c>
      <c r="B13" s="1" t="s">
        <v>170</v>
      </c>
      <c r="C13" s="1" t="s">
        <v>195</v>
      </c>
      <c r="D13" s="1" t="s">
        <v>196</v>
      </c>
      <c r="E13" s="1" t="s">
        <v>196</v>
      </c>
      <c r="F13" s="1" t="s">
        <v>5</v>
      </c>
      <c r="G13" s="1"/>
      <c r="H13" s="2">
        <v>46202.506249999999</v>
      </c>
      <c r="I13" s="1">
        <v>8</v>
      </c>
      <c r="J13" s="1"/>
      <c r="K13" s="2">
        <f>Velocity!$B$27</f>
        <v>46218</v>
      </c>
      <c r="L13" s="2">
        <f>Velocity!$C$27</f>
        <v>46231.999305555553</v>
      </c>
      <c r="M13" t="str">
        <f t="shared" si="0"/>
        <v>False</v>
      </c>
      <c r="N13">
        <f t="shared" si="1"/>
        <v>8</v>
      </c>
      <c r="O13" t="str">
        <f>IF(M13="True",I13,"")</f>
        <v/>
      </c>
      <c r="P13">
        <f t="shared" si="2"/>
        <v>8</v>
      </c>
    </row>
    <row r="14" spans="1:16">
      <c r="A14" s="1">
        <v>991692</v>
      </c>
      <c r="B14" s="1" t="s">
        <v>170</v>
      </c>
      <c r="C14" s="1" t="s">
        <v>197</v>
      </c>
      <c r="D14" s="1" t="s">
        <v>178</v>
      </c>
      <c r="E14" s="1" t="s">
        <v>178</v>
      </c>
      <c r="F14" s="1" t="s">
        <v>5</v>
      </c>
      <c r="G14" s="1"/>
      <c r="H14" s="2">
        <v>46210.34652777778</v>
      </c>
      <c r="I14" s="1">
        <v>2</v>
      </c>
      <c r="J14" s="1"/>
      <c r="K14" s="2">
        <f>Velocity!$B$27</f>
        <v>46218</v>
      </c>
      <c r="L14" s="2">
        <f>Velocity!$C$27</f>
        <v>46231.999305555553</v>
      </c>
      <c r="M14" t="str">
        <f t="shared" si="0"/>
        <v>False</v>
      </c>
      <c r="N14">
        <f t="shared" si="1"/>
        <v>2</v>
      </c>
      <c r="O14" t="str">
        <f>IF(M14="True",I14,"")</f>
        <v/>
      </c>
      <c r="P14">
        <f t="shared" si="2"/>
        <v>2</v>
      </c>
    </row>
    <row r="15" spans="1:16">
      <c r="A15" s="1">
        <v>1003096</v>
      </c>
      <c r="B15" s="1" t="s">
        <v>170</v>
      </c>
      <c r="C15" s="1" t="s">
        <v>198</v>
      </c>
      <c r="D15" s="1" t="s">
        <v>199</v>
      </c>
      <c r="E15" s="1" t="s">
        <v>199</v>
      </c>
      <c r="F15" s="1" t="s">
        <v>5</v>
      </c>
      <c r="G15" s="1"/>
      <c r="H15" s="2">
        <v>46218.426388888889</v>
      </c>
      <c r="I15" s="1">
        <v>3</v>
      </c>
      <c r="J15" s="1"/>
      <c r="K15" s="2">
        <f>Velocity!$B$27</f>
        <v>46218</v>
      </c>
      <c r="L15" s="2">
        <f>Velocity!$C$27</f>
        <v>46231.999305555553</v>
      </c>
      <c r="M15" t="str">
        <f t="shared" si="0"/>
        <v>True</v>
      </c>
      <c r="N15" t="str">
        <f t="shared" si="1"/>
        <v/>
      </c>
      <c r="O15">
        <f>IF(M15="True",I15,"")</f>
        <v>3</v>
      </c>
      <c r="P15">
        <f t="shared" si="2"/>
        <v>3</v>
      </c>
    </row>
    <row r="16" spans="1:16">
      <c r="A16" s="1">
        <v>1004474</v>
      </c>
      <c r="B16" s="1" t="s">
        <v>170</v>
      </c>
      <c r="C16" s="1" t="s">
        <v>200</v>
      </c>
      <c r="D16" s="1" t="s">
        <v>178</v>
      </c>
      <c r="E16" s="1" t="s">
        <v>178</v>
      </c>
      <c r="F16" s="1" t="s">
        <v>5</v>
      </c>
      <c r="G16" s="1"/>
      <c r="H16" s="2">
        <v>46219.313194444447</v>
      </c>
      <c r="I16" s="1">
        <v>1</v>
      </c>
      <c r="J16" s="1"/>
      <c r="K16" s="2">
        <f>Velocity!$B$27</f>
        <v>46218</v>
      </c>
      <c r="L16" s="2">
        <f>Velocity!$C$27</f>
        <v>46231.999305555553</v>
      </c>
      <c r="M16" t="str">
        <f t="shared" si="0"/>
        <v>True</v>
      </c>
      <c r="N16" t="str">
        <f t="shared" si="1"/>
        <v/>
      </c>
      <c r="O16">
        <f>IF(M16="True",I16,"")</f>
        <v>1</v>
      </c>
      <c r="P16">
        <f t="shared" si="2"/>
        <v>1</v>
      </c>
    </row>
    <row r="17" spans="1:16">
      <c r="A17" s="1">
        <v>1005118</v>
      </c>
      <c r="B17" s="1" t="s">
        <v>170</v>
      </c>
      <c r="C17" s="1" t="s">
        <v>201</v>
      </c>
      <c r="D17" s="1" t="s">
        <v>199</v>
      </c>
      <c r="E17" s="1" t="s">
        <v>199</v>
      </c>
      <c r="F17" s="1" t="s">
        <v>5</v>
      </c>
      <c r="G17" s="1"/>
      <c r="H17" s="2">
        <v>46219.570833333331</v>
      </c>
      <c r="I17" s="1">
        <v>2</v>
      </c>
      <c r="J17" s="1"/>
      <c r="K17" s="2">
        <f>Velocity!$B$27</f>
        <v>46218</v>
      </c>
      <c r="L17" s="2">
        <f>Velocity!$C$27</f>
        <v>46231.999305555553</v>
      </c>
      <c r="M17" t="str">
        <f t="shared" si="0"/>
        <v>True</v>
      </c>
      <c r="N17" t="str">
        <f t="shared" si="1"/>
        <v/>
      </c>
      <c r="O17">
        <f>IF(M17="True",I17,"")</f>
        <v>2</v>
      </c>
      <c r="P17">
        <f t="shared" si="2"/>
        <v>2</v>
      </c>
    </row>
    <row r="18" spans="1:16">
      <c r="A18" s="1">
        <v>1005609</v>
      </c>
      <c r="B18" s="1" t="s">
        <v>170</v>
      </c>
      <c r="C18" s="1" t="s">
        <v>202</v>
      </c>
      <c r="D18" s="1" t="s">
        <v>190</v>
      </c>
      <c r="E18" s="1" t="s">
        <v>203</v>
      </c>
      <c r="F18" s="1" t="s">
        <v>5</v>
      </c>
      <c r="G18" s="1"/>
      <c r="H18" s="2">
        <v>46220.340277777781</v>
      </c>
      <c r="I18" s="1">
        <v>0</v>
      </c>
      <c r="J18" s="1"/>
      <c r="K18" s="2">
        <f>Velocity!$B$27</f>
        <v>46218</v>
      </c>
      <c r="L18" s="2">
        <f>Velocity!$C$27</f>
        <v>46231.999305555553</v>
      </c>
      <c r="M18" t="str">
        <f t="shared" si="0"/>
        <v>True</v>
      </c>
      <c r="N18" t="str">
        <f t="shared" si="1"/>
        <v/>
      </c>
      <c r="O18">
        <f>IF(M18="True",I18,"")</f>
        <v>0</v>
      </c>
      <c r="P18">
        <f t="shared" si="2"/>
        <v>0</v>
      </c>
    </row>
    <row r="19" spans="1:16">
      <c r="A19" s="1">
        <v>1006303</v>
      </c>
      <c r="B19" s="1" t="s">
        <v>170</v>
      </c>
      <c r="C19" s="1" t="s">
        <v>204</v>
      </c>
      <c r="D19" s="1" t="s">
        <v>178</v>
      </c>
      <c r="E19" s="1" t="s">
        <v>178</v>
      </c>
      <c r="F19" s="1" t="s">
        <v>5</v>
      </c>
      <c r="G19" s="1"/>
      <c r="H19" s="2">
        <v>46223.123611111114</v>
      </c>
      <c r="I19" s="1">
        <v>3</v>
      </c>
      <c r="J19" s="1"/>
      <c r="K19" s="2">
        <f>Velocity!$B$27</f>
        <v>46218</v>
      </c>
      <c r="L19" s="2">
        <f>Velocity!$C$27</f>
        <v>46231.999305555553</v>
      </c>
      <c r="M19" t="str">
        <f t="shared" si="0"/>
        <v>True</v>
      </c>
      <c r="N19" t="str">
        <f t="shared" si="1"/>
        <v/>
      </c>
      <c r="O19">
        <f>IF(M19="True",I19,"")</f>
        <v>3</v>
      </c>
      <c r="P19">
        <f t="shared" si="2"/>
        <v>3</v>
      </c>
    </row>
    <row r="20" spans="1:16">
      <c r="A20" s="1">
        <v>1006800</v>
      </c>
      <c r="B20" s="1" t="s">
        <v>170</v>
      </c>
      <c r="C20" s="1" t="s">
        <v>205</v>
      </c>
      <c r="D20" s="1" t="s">
        <v>180</v>
      </c>
      <c r="E20" s="1" t="s">
        <v>180</v>
      </c>
      <c r="F20" s="1" t="s">
        <v>5</v>
      </c>
      <c r="G20" s="1"/>
      <c r="H20" s="2">
        <v>46223.601388888892</v>
      </c>
      <c r="I20" s="1">
        <v>2</v>
      </c>
      <c r="J20" s="1"/>
      <c r="K20" s="2">
        <f>Velocity!$B$27</f>
        <v>46218</v>
      </c>
      <c r="L20" s="2">
        <f>Velocity!$C$27</f>
        <v>46231.999305555553</v>
      </c>
      <c r="M20" t="str">
        <f t="shared" si="0"/>
        <v>True</v>
      </c>
      <c r="N20" t="str">
        <f t="shared" si="1"/>
        <v/>
      </c>
      <c r="O20">
        <f>IF(M20="True",I20,"")</f>
        <v>2</v>
      </c>
      <c r="P20">
        <f t="shared" si="2"/>
        <v>2</v>
      </c>
    </row>
    <row r="21" spans="1:16">
      <c r="A21" s="1">
        <v>1007131</v>
      </c>
      <c r="B21" s="1" t="s">
        <v>170</v>
      </c>
      <c r="C21" s="1" t="s">
        <v>206</v>
      </c>
      <c r="D21" s="1" t="s">
        <v>176</v>
      </c>
      <c r="E21" s="1" t="s">
        <v>203</v>
      </c>
      <c r="F21" s="1" t="s">
        <v>5</v>
      </c>
      <c r="G21" s="1"/>
      <c r="H21" s="2">
        <v>46224.356944444444</v>
      </c>
      <c r="I21" s="1">
        <v>3</v>
      </c>
      <c r="J21" s="1"/>
      <c r="K21" s="2">
        <f>Velocity!$B$27</f>
        <v>46218</v>
      </c>
      <c r="L21" s="2">
        <f>Velocity!$C$27</f>
        <v>46231.999305555553</v>
      </c>
      <c r="M21" t="str">
        <f t="shared" si="0"/>
        <v>True</v>
      </c>
      <c r="N21" t="str">
        <f t="shared" si="1"/>
        <v/>
      </c>
      <c r="O21">
        <f>IF(M21="True",I21,"")</f>
        <v>3</v>
      </c>
      <c r="P21">
        <f t="shared" si="2"/>
        <v>3</v>
      </c>
    </row>
    <row r="22" spans="1:16">
      <c r="A22" s="1">
        <v>1008018</v>
      </c>
      <c r="B22" s="1" t="s">
        <v>170</v>
      </c>
      <c r="C22" s="1" t="s">
        <v>207</v>
      </c>
      <c r="D22" s="1" t="s">
        <v>178</v>
      </c>
      <c r="E22" s="1" t="s">
        <v>178</v>
      </c>
      <c r="F22" s="1" t="s">
        <v>5</v>
      </c>
      <c r="G22" s="1"/>
      <c r="H22" s="2">
        <v>46225.265277777777</v>
      </c>
      <c r="I22" s="1">
        <v>2</v>
      </c>
      <c r="J22" s="1"/>
      <c r="K22" s="2">
        <f>Velocity!$B$27</f>
        <v>46218</v>
      </c>
      <c r="L22" s="2">
        <f>Velocity!$C$27</f>
        <v>46231.999305555553</v>
      </c>
      <c r="M22" t="str">
        <f t="shared" si="0"/>
        <v>True</v>
      </c>
      <c r="N22" t="str">
        <f t="shared" si="1"/>
        <v/>
      </c>
      <c r="O22">
        <f>IF(M22="True",I22,"")</f>
        <v>2</v>
      </c>
      <c r="P22">
        <f t="shared" si="2"/>
        <v>2</v>
      </c>
    </row>
    <row r="23" spans="1:16">
      <c r="A23" s="1">
        <v>1008170</v>
      </c>
      <c r="B23" s="1" t="s">
        <v>170</v>
      </c>
      <c r="C23" s="1" t="s">
        <v>208</v>
      </c>
      <c r="D23" s="1" t="s">
        <v>184</v>
      </c>
      <c r="E23" s="1" t="s">
        <v>184</v>
      </c>
      <c r="F23" s="1" t="s">
        <v>5</v>
      </c>
      <c r="G23" s="1"/>
      <c r="H23" s="2">
        <v>46225.382638888892</v>
      </c>
      <c r="I23" s="1">
        <v>5</v>
      </c>
      <c r="J23" s="1"/>
      <c r="K23" s="2">
        <f>Velocity!$B$27</f>
        <v>46218</v>
      </c>
      <c r="L23" s="2">
        <f>Velocity!$C$27</f>
        <v>46231.999305555553</v>
      </c>
      <c r="M23" t="str">
        <f t="shared" si="0"/>
        <v>True</v>
      </c>
      <c r="N23" t="str">
        <f t="shared" si="1"/>
        <v/>
      </c>
      <c r="O23">
        <f>IF(M23="True",I23,"")</f>
        <v>5</v>
      </c>
      <c r="P23">
        <f t="shared" si="2"/>
        <v>5</v>
      </c>
    </row>
    <row r="24" spans="1:16">
      <c r="A24" s="1">
        <v>1008266</v>
      </c>
      <c r="B24" s="1" t="s">
        <v>209</v>
      </c>
      <c r="C24" s="1" t="s">
        <v>210</v>
      </c>
      <c r="D24" s="1" t="s">
        <v>180</v>
      </c>
      <c r="E24" s="1" t="s">
        <v>180</v>
      </c>
      <c r="F24" s="1" t="s">
        <v>5</v>
      </c>
      <c r="G24" s="1"/>
      <c r="H24" s="2">
        <v>46225.418749999997</v>
      </c>
      <c r="I24" s="1">
        <v>3</v>
      </c>
      <c r="J24" s="1"/>
      <c r="K24" s="2">
        <f>Velocity!$B$27</f>
        <v>46218</v>
      </c>
      <c r="L24" s="2">
        <f>Velocity!$C$27</f>
        <v>46231.999305555553</v>
      </c>
      <c r="M24" t="str">
        <f t="shared" si="0"/>
        <v>True</v>
      </c>
      <c r="N24" t="str">
        <f t="shared" si="1"/>
        <v/>
      </c>
      <c r="O24">
        <f>IF(M24="True",I24,"")</f>
        <v>3</v>
      </c>
      <c r="P24">
        <f t="shared" si="2"/>
        <v>3</v>
      </c>
    </row>
    <row r="25" spans="1:16">
      <c r="A25" s="1">
        <v>1009480</v>
      </c>
      <c r="B25" s="1" t="s">
        <v>170</v>
      </c>
      <c r="C25" s="1" t="s">
        <v>211</v>
      </c>
      <c r="D25" s="1" t="s">
        <v>194</v>
      </c>
      <c r="E25" s="1" t="s">
        <v>194</v>
      </c>
      <c r="F25" s="1" t="s">
        <v>5</v>
      </c>
      <c r="G25" s="1"/>
      <c r="H25" s="2">
        <v>46226.499305555553</v>
      </c>
      <c r="I25" s="1">
        <v>2</v>
      </c>
      <c r="J25" s="1"/>
      <c r="K25" s="2">
        <f>Velocity!$B$27</f>
        <v>46218</v>
      </c>
      <c r="L25" s="2">
        <f>Velocity!$C$27</f>
        <v>46231.999305555553</v>
      </c>
      <c r="M25" t="str">
        <f t="shared" si="0"/>
        <v>True</v>
      </c>
      <c r="N25" t="str">
        <f t="shared" si="1"/>
        <v/>
      </c>
      <c r="O25">
        <f>IF(M25="True",I25,"")</f>
        <v>2</v>
      </c>
      <c r="P25">
        <f t="shared" si="2"/>
        <v>2</v>
      </c>
    </row>
    <row r="26" spans="1:16">
      <c r="A26" s="1">
        <v>1009553</v>
      </c>
      <c r="B26" s="1" t="s">
        <v>170</v>
      </c>
      <c r="C26" s="1" t="s">
        <v>212</v>
      </c>
      <c r="D26" s="1" t="s">
        <v>213</v>
      </c>
      <c r="E26" s="1" t="s">
        <v>213</v>
      </c>
      <c r="F26" s="1" t="s">
        <v>5</v>
      </c>
      <c r="G26" s="1"/>
      <c r="H26" s="2">
        <v>46226.552083333336</v>
      </c>
      <c r="I26" s="1">
        <v>3</v>
      </c>
      <c r="J26" s="1"/>
      <c r="K26" s="2">
        <f>Velocity!$B$27</f>
        <v>46218</v>
      </c>
      <c r="L26" s="2">
        <f>Velocity!$C$27</f>
        <v>46231.999305555553</v>
      </c>
      <c r="M26" t="str">
        <f t="shared" si="0"/>
        <v>True</v>
      </c>
      <c r="N26" t="str">
        <f t="shared" si="1"/>
        <v/>
      </c>
      <c r="O26">
        <f>IF(M26="True",I26,"")</f>
        <v>3</v>
      </c>
      <c r="P26">
        <f t="shared" si="2"/>
        <v>3</v>
      </c>
    </row>
    <row r="27" spans="1:16">
      <c r="A27" s="1">
        <v>1010142</v>
      </c>
      <c r="B27" s="1" t="s">
        <v>170</v>
      </c>
      <c r="C27" s="1" t="s">
        <v>214</v>
      </c>
      <c r="D27" s="1" t="s">
        <v>194</v>
      </c>
      <c r="E27" s="1" t="s">
        <v>194</v>
      </c>
      <c r="F27" s="1" t="s">
        <v>5</v>
      </c>
      <c r="G27" s="1"/>
      <c r="H27" s="2">
        <v>46227.447222222225</v>
      </c>
      <c r="I27" s="1">
        <v>1</v>
      </c>
      <c r="J27" s="1"/>
      <c r="K27" s="2">
        <f>Velocity!$B$27</f>
        <v>46218</v>
      </c>
      <c r="L27" s="2">
        <f>Velocity!$C$27</f>
        <v>46231.999305555553</v>
      </c>
      <c r="M27" t="str">
        <f t="shared" si="0"/>
        <v>True</v>
      </c>
      <c r="N27" t="str">
        <f t="shared" si="1"/>
        <v/>
      </c>
      <c r="O27">
        <f>IF(M27="True",I27,"")</f>
        <v>1</v>
      </c>
      <c r="P27">
        <f t="shared" si="2"/>
        <v>1</v>
      </c>
    </row>
    <row r="28" spans="1:16">
      <c r="A28" s="1">
        <v>1010858</v>
      </c>
      <c r="B28" s="1" t="s">
        <v>170</v>
      </c>
      <c r="C28" s="1" t="s">
        <v>214</v>
      </c>
      <c r="D28" s="1" t="s">
        <v>178</v>
      </c>
      <c r="E28" s="1" t="s">
        <v>178</v>
      </c>
      <c r="F28" s="1" t="s">
        <v>5</v>
      </c>
      <c r="G28" s="1"/>
      <c r="H28" s="2">
        <v>46230.070833333331</v>
      </c>
      <c r="I28" s="1">
        <v>2</v>
      </c>
      <c r="J28" s="1"/>
      <c r="K28" s="2">
        <f>Velocity!$B$27</f>
        <v>46218</v>
      </c>
      <c r="L28" s="2">
        <f>Velocity!$C$27</f>
        <v>46231.999305555553</v>
      </c>
      <c r="M28" t="str">
        <f t="shared" si="0"/>
        <v>True</v>
      </c>
      <c r="N28" t="str">
        <f t="shared" si="1"/>
        <v/>
      </c>
      <c r="O28">
        <f>IF(M28="True",I28,"")</f>
        <v>2</v>
      </c>
      <c r="P28">
        <f t="shared" si="2"/>
        <v>2</v>
      </c>
    </row>
    <row r="29" spans="1:16">
      <c r="A29" s="1">
        <v>1010978</v>
      </c>
      <c r="B29" s="1" t="s">
        <v>209</v>
      </c>
      <c r="C29" s="1" t="s">
        <v>215</v>
      </c>
      <c r="D29" s="1" t="s">
        <v>199</v>
      </c>
      <c r="E29" s="1" t="s">
        <v>199</v>
      </c>
      <c r="F29" s="1" t="s">
        <v>5</v>
      </c>
      <c r="G29" s="1"/>
      <c r="H29" s="2">
        <v>46230.353472222225</v>
      </c>
      <c r="I29" s="7">
        <v>3</v>
      </c>
      <c r="J29" s="1"/>
      <c r="K29" s="2">
        <f>Velocity!$B$27</f>
        <v>46218</v>
      </c>
      <c r="L29" s="2">
        <f>Velocity!$C$27</f>
        <v>46231.999305555553</v>
      </c>
      <c r="M29" t="str">
        <f t="shared" si="0"/>
        <v>True</v>
      </c>
      <c r="N29" t="str">
        <f t="shared" si="1"/>
        <v/>
      </c>
      <c r="O29">
        <f>IF(M29="True",I29,"")</f>
        <v>3</v>
      </c>
      <c r="P29">
        <f t="shared" si="2"/>
        <v>3</v>
      </c>
    </row>
  </sheetData>
  <autoFilter ref="A1:N29" xr:uid="{947EA57B-D28A-4481-8AC7-17B89951E40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79E3-BCFC-46E8-A81D-124DE3D3DA80}">
  <dimension ref="A1:S22"/>
  <sheetViews>
    <sheetView topLeftCell="D1" workbookViewId="0">
      <selection activeCell="L26" sqref="L26"/>
    </sheetView>
  </sheetViews>
  <sheetFormatPr defaultRowHeight="15"/>
  <cols>
    <col min="1" max="1" width="14.28515625" customWidth="1"/>
    <col min="2" max="2" width="15.5703125" bestFit="1" customWidth="1"/>
    <col min="3" max="3" width="110.42578125" bestFit="1" customWidth="1"/>
    <col min="4" max="4" width="44.42578125" customWidth="1"/>
    <col min="5" max="5" width="31" customWidth="1"/>
    <col min="6" max="6" width="8.7109375" bestFit="1" customWidth="1"/>
    <col min="7" max="7" width="38.5703125" bestFit="1" customWidth="1"/>
    <col min="8" max="8" width="17" bestFit="1" customWidth="1"/>
    <col min="9" max="9" width="16" bestFit="1" customWidth="1"/>
    <col min="10" max="10" width="11.85546875" bestFit="1" customWidth="1"/>
    <col min="11" max="11" width="14.85546875" bestFit="1" customWidth="1"/>
    <col min="12" max="12" width="16.140625" bestFit="1" customWidth="1"/>
    <col min="13" max="13" width="16" bestFit="1" customWidth="1"/>
    <col min="14" max="15" width="13.140625" customWidth="1"/>
  </cols>
  <sheetData>
    <row r="1" spans="1:19" ht="30.75">
      <c r="A1" s="4" t="s">
        <v>63</v>
      </c>
      <c r="B1" s="4" t="s">
        <v>158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165</v>
      </c>
      <c r="J1" s="4" t="s">
        <v>166</v>
      </c>
      <c r="K1" s="5" t="s">
        <v>1</v>
      </c>
      <c r="L1" s="5" t="s">
        <v>2</v>
      </c>
      <c r="M1" s="5" t="s">
        <v>167</v>
      </c>
      <c r="P1" s="94" t="s">
        <v>5</v>
      </c>
      <c r="Q1" s="95"/>
      <c r="R1" s="95"/>
      <c r="S1" s="95"/>
    </row>
    <row r="2" spans="1:19" s="6" customFormat="1" ht="30.75">
      <c r="A2" s="4" t="s">
        <v>63</v>
      </c>
      <c r="B2" s="4" t="s">
        <v>158</v>
      </c>
      <c r="C2" s="4" t="s">
        <v>159</v>
      </c>
      <c r="D2" s="4" t="s">
        <v>160</v>
      </c>
      <c r="E2" s="4" t="s">
        <v>161</v>
      </c>
      <c r="F2" s="4" t="s">
        <v>162</v>
      </c>
      <c r="G2" s="4" t="s">
        <v>163</v>
      </c>
      <c r="H2" s="4" t="s">
        <v>164</v>
      </c>
      <c r="I2" s="4" t="s">
        <v>216</v>
      </c>
      <c r="J2" s="4" t="s">
        <v>166</v>
      </c>
      <c r="K2" s="5" t="s">
        <v>1</v>
      </c>
      <c r="L2" s="5" t="s">
        <v>2</v>
      </c>
      <c r="M2" s="5" t="s">
        <v>167</v>
      </c>
      <c r="N2" s="5" t="s">
        <v>168</v>
      </c>
      <c r="O2" s="5" t="s">
        <v>169</v>
      </c>
    </row>
    <row r="3" spans="1:19">
      <c r="A3" s="1">
        <v>761286</v>
      </c>
      <c r="B3" s="1" t="s">
        <v>170</v>
      </c>
      <c r="C3" s="1" t="s">
        <v>217</v>
      </c>
      <c r="D3" s="1" t="s">
        <v>190</v>
      </c>
      <c r="E3" s="1" t="s">
        <v>203</v>
      </c>
      <c r="F3" s="1" t="s">
        <v>5</v>
      </c>
      <c r="G3" s="1" t="s">
        <v>218</v>
      </c>
      <c r="H3" s="2">
        <v>45889.434027777781</v>
      </c>
      <c r="I3" s="1">
        <v>3</v>
      </c>
      <c r="J3" s="1"/>
      <c r="K3" s="2">
        <f>Velocity!$B$28</f>
        <v>46232</v>
      </c>
      <c r="L3" s="2">
        <f>Velocity!$C$28</f>
        <v>46245.999305555553</v>
      </c>
      <c r="M3" t="str">
        <f t="shared" ref="M3:M21" si="0">IF(K3&lt;H3,"True","False")</f>
        <v>False</v>
      </c>
      <c r="N3">
        <f>IF(M3="False",I3,"")</f>
        <v>3</v>
      </c>
      <c r="O3" t="str">
        <f>IF(M3="True",I3,"")</f>
        <v/>
      </c>
      <c r="P3">
        <f>IF(J3&gt;0,"",I3)</f>
        <v>3</v>
      </c>
    </row>
    <row r="4" spans="1:19">
      <c r="A4" s="1">
        <v>820263</v>
      </c>
      <c r="B4" s="1" t="s">
        <v>170</v>
      </c>
      <c r="C4" s="1" t="s">
        <v>219</v>
      </c>
      <c r="D4" s="1" t="s">
        <v>178</v>
      </c>
      <c r="E4" s="1" t="s">
        <v>178</v>
      </c>
      <c r="F4" s="1" t="s">
        <v>5</v>
      </c>
      <c r="G4" s="1" t="s">
        <v>220</v>
      </c>
      <c r="H4" s="2">
        <v>45972.510416666664</v>
      </c>
      <c r="I4" s="1">
        <v>5</v>
      </c>
      <c r="J4" s="1"/>
      <c r="K4" s="2">
        <f>Velocity!$B$28</f>
        <v>46232</v>
      </c>
      <c r="L4" s="2">
        <f>Velocity!$C$28</f>
        <v>46245.999305555553</v>
      </c>
      <c r="M4" t="str">
        <f t="shared" si="0"/>
        <v>False</v>
      </c>
      <c r="N4">
        <f t="shared" ref="N4:N21" si="1">IF(M4="False",I4,"")</f>
        <v>5</v>
      </c>
      <c r="O4" t="str">
        <f t="shared" ref="O4:O21" si="2">IF(M4="True",I4,"")</f>
        <v/>
      </c>
      <c r="P4">
        <f t="shared" ref="P4:P21" si="3">IF(J4&gt;0,"",I4)</f>
        <v>5</v>
      </c>
    </row>
    <row r="5" spans="1:19">
      <c r="A5" s="1">
        <v>906039</v>
      </c>
      <c r="B5" s="1" t="s">
        <v>170</v>
      </c>
      <c r="C5" s="1" t="s">
        <v>221</v>
      </c>
      <c r="D5" s="1" t="s">
        <v>222</v>
      </c>
      <c r="E5" s="1" t="s">
        <v>222</v>
      </c>
      <c r="F5" s="1" t="s">
        <v>5</v>
      </c>
      <c r="G5" s="1" t="s">
        <v>223</v>
      </c>
      <c r="H5" s="2">
        <v>46094.015972222223</v>
      </c>
      <c r="I5" s="1">
        <v>3</v>
      </c>
      <c r="J5" s="1"/>
      <c r="K5" s="2">
        <f>Velocity!$B$28</f>
        <v>46232</v>
      </c>
      <c r="L5" s="2">
        <f>Velocity!$C$28</f>
        <v>46245.999305555553</v>
      </c>
      <c r="M5" t="str">
        <f t="shared" si="0"/>
        <v>False</v>
      </c>
      <c r="N5">
        <f t="shared" si="1"/>
        <v>3</v>
      </c>
      <c r="O5" t="str">
        <f t="shared" si="2"/>
        <v/>
      </c>
      <c r="P5">
        <f t="shared" si="3"/>
        <v>3</v>
      </c>
    </row>
    <row r="6" spans="1:19">
      <c r="A6" s="1">
        <v>931780</v>
      </c>
      <c r="B6" s="1" t="s">
        <v>170</v>
      </c>
      <c r="C6" s="1" t="s">
        <v>224</v>
      </c>
      <c r="D6" s="1" t="s">
        <v>176</v>
      </c>
      <c r="E6" s="1" t="s">
        <v>176</v>
      </c>
      <c r="F6" s="1" t="s">
        <v>5</v>
      </c>
      <c r="G6" s="1" t="s">
        <v>225</v>
      </c>
      <c r="H6" s="2">
        <v>46127.504861111112</v>
      </c>
      <c r="I6" s="1">
        <v>8</v>
      </c>
      <c r="J6" s="1"/>
      <c r="K6" s="2">
        <f>Velocity!$B$28</f>
        <v>46232</v>
      </c>
      <c r="L6" s="2">
        <f>Velocity!$C$28</f>
        <v>46245.999305555553</v>
      </c>
      <c r="M6" t="str">
        <f t="shared" si="0"/>
        <v>False</v>
      </c>
      <c r="N6">
        <f t="shared" si="1"/>
        <v>8</v>
      </c>
      <c r="O6" t="str">
        <f t="shared" si="2"/>
        <v/>
      </c>
      <c r="P6">
        <f t="shared" si="3"/>
        <v>8</v>
      </c>
    </row>
    <row r="7" spans="1:19">
      <c r="A7" s="1">
        <v>932496</v>
      </c>
      <c r="B7" s="1" t="s">
        <v>170</v>
      </c>
      <c r="C7" s="1" t="s">
        <v>226</v>
      </c>
      <c r="D7" s="1"/>
      <c r="E7" s="1"/>
      <c r="F7" s="1" t="s">
        <v>5</v>
      </c>
      <c r="G7" s="1" t="s">
        <v>227</v>
      </c>
      <c r="H7" s="2">
        <v>46128.328472222223</v>
      </c>
      <c r="I7" s="1">
        <v>5</v>
      </c>
      <c r="J7" s="1"/>
      <c r="K7" s="2">
        <f>Velocity!$B$28</f>
        <v>46232</v>
      </c>
      <c r="L7" s="2">
        <f>Velocity!$C$28</f>
        <v>46245.999305555553</v>
      </c>
      <c r="M7" t="str">
        <f t="shared" si="0"/>
        <v>False</v>
      </c>
      <c r="N7">
        <f t="shared" si="1"/>
        <v>5</v>
      </c>
      <c r="O7" t="str">
        <f t="shared" si="2"/>
        <v/>
      </c>
      <c r="P7">
        <f t="shared" si="3"/>
        <v>5</v>
      </c>
    </row>
    <row r="8" spans="1:19">
      <c r="A8" s="1">
        <v>965965</v>
      </c>
      <c r="B8" s="1" t="s">
        <v>170</v>
      </c>
      <c r="C8" s="1" t="s">
        <v>228</v>
      </c>
      <c r="D8" s="1" t="s">
        <v>184</v>
      </c>
      <c r="E8" s="1" t="s">
        <v>184</v>
      </c>
      <c r="F8" s="1" t="s">
        <v>5</v>
      </c>
      <c r="G8" s="1" t="s">
        <v>229</v>
      </c>
      <c r="H8" s="2">
        <v>46175.680555555555</v>
      </c>
      <c r="I8" s="1">
        <v>5</v>
      </c>
      <c r="J8" s="1">
        <v>2</v>
      </c>
      <c r="K8" s="2">
        <f>Velocity!$B$28</f>
        <v>46232</v>
      </c>
      <c r="L8" s="2">
        <f>Velocity!$C$28</f>
        <v>46245.999305555553</v>
      </c>
      <c r="M8" t="str">
        <f t="shared" si="0"/>
        <v>False</v>
      </c>
      <c r="N8">
        <f t="shared" si="1"/>
        <v>5</v>
      </c>
      <c r="O8" t="str">
        <f t="shared" si="2"/>
        <v/>
      </c>
      <c r="P8" t="str">
        <f t="shared" si="3"/>
        <v/>
      </c>
    </row>
    <row r="9" spans="1:19">
      <c r="A9" s="1">
        <v>982967</v>
      </c>
      <c r="B9" s="1" t="s">
        <v>170</v>
      </c>
      <c r="C9" s="1" t="s">
        <v>230</v>
      </c>
      <c r="D9" s="1" t="s">
        <v>176</v>
      </c>
      <c r="E9" s="1" t="s">
        <v>176</v>
      </c>
      <c r="F9" s="1" t="s">
        <v>5</v>
      </c>
      <c r="G9" s="1" t="s">
        <v>231</v>
      </c>
      <c r="H9" s="2">
        <v>46197.697916666664</v>
      </c>
      <c r="I9" s="1">
        <v>5</v>
      </c>
      <c r="J9" s="1"/>
      <c r="K9" s="2">
        <f>Velocity!$B$28</f>
        <v>46232</v>
      </c>
      <c r="L9" s="2">
        <f>Velocity!$C$28</f>
        <v>46245.999305555553</v>
      </c>
      <c r="M9" t="str">
        <f t="shared" si="0"/>
        <v>False</v>
      </c>
      <c r="N9">
        <f t="shared" si="1"/>
        <v>5</v>
      </c>
      <c r="O9" t="str">
        <f t="shared" si="2"/>
        <v/>
      </c>
      <c r="P9">
        <f t="shared" si="3"/>
        <v>5</v>
      </c>
    </row>
    <row r="10" spans="1:19">
      <c r="A10" s="1">
        <v>984594</v>
      </c>
      <c r="B10" s="1" t="s">
        <v>170</v>
      </c>
      <c r="C10" s="1" t="s">
        <v>232</v>
      </c>
      <c r="D10" s="1" t="s">
        <v>172</v>
      </c>
      <c r="E10" s="1" t="s">
        <v>172</v>
      </c>
      <c r="F10" s="1" t="s">
        <v>5</v>
      </c>
      <c r="G10" s="1" t="s">
        <v>233</v>
      </c>
      <c r="H10" s="2">
        <v>46199.48333333333</v>
      </c>
      <c r="I10" s="1">
        <v>5</v>
      </c>
      <c r="J10" s="1"/>
      <c r="K10" s="2">
        <f>Velocity!$B$28</f>
        <v>46232</v>
      </c>
      <c r="L10" s="2">
        <f>Velocity!$C$28</f>
        <v>46245.999305555553</v>
      </c>
      <c r="M10" t="str">
        <f t="shared" si="0"/>
        <v>False</v>
      </c>
      <c r="N10">
        <f t="shared" si="1"/>
        <v>5</v>
      </c>
      <c r="O10" t="str">
        <f t="shared" si="2"/>
        <v/>
      </c>
      <c r="P10">
        <f t="shared" si="3"/>
        <v>5</v>
      </c>
    </row>
    <row r="11" spans="1:19" s="10" customFormat="1">
      <c r="A11" s="8">
        <v>1001693</v>
      </c>
      <c r="B11" s="8" t="s">
        <v>170</v>
      </c>
      <c r="C11" s="8" t="s">
        <v>234</v>
      </c>
      <c r="D11" s="8" t="s">
        <v>190</v>
      </c>
      <c r="E11" s="8"/>
      <c r="F11" s="8" t="s">
        <v>5</v>
      </c>
      <c r="G11" s="8" t="s">
        <v>220</v>
      </c>
      <c r="H11" s="9">
        <v>46217.724305555559</v>
      </c>
      <c r="I11" s="8">
        <v>0</v>
      </c>
      <c r="J11" s="8"/>
      <c r="K11" s="2">
        <f>Velocity!$B$28</f>
        <v>46232</v>
      </c>
      <c r="L11" s="2">
        <f>Velocity!$C$28</f>
        <v>46245.999305555553</v>
      </c>
      <c r="M11" t="str">
        <f t="shared" si="0"/>
        <v>False</v>
      </c>
      <c r="N11">
        <f t="shared" si="1"/>
        <v>0</v>
      </c>
      <c r="O11" t="str">
        <f t="shared" si="2"/>
        <v/>
      </c>
      <c r="P11">
        <f t="shared" si="3"/>
        <v>0</v>
      </c>
    </row>
    <row r="12" spans="1:19">
      <c r="A12" s="1">
        <v>1001695</v>
      </c>
      <c r="B12" s="1" t="s">
        <v>170</v>
      </c>
      <c r="C12" s="1" t="s">
        <v>235</v>
      </c>
      <c r="D12" s="1" t="s">
        <v>184</v>
      </c>
      <c r="E12" s="1" t="s">
        <v>184</v>
      </c>
      <c r="F12" s="1" t="s">
        <v>5</v>
      </c>
      <c r="G12" s="1" t="s">
        <v>236</v>
      </c>
      <c r="H12" s="2">
        <v>46217.726388888892</v>
      </c>
      <c r="I12" s="1">
        <v>5</v>
      </c>
      <c r="J12" s="1"/>
      <c r="K12" s="2">
        <f>Velocity!$B$28</f>
        <v>46232</v>
      </c>
      <c r="L12" s="2">
        <f>Velocity!$C$28</f>
        <v>46245.999305555553</v>
      </c>
      <c r="M12" t="str">
        <f t="shared" si="0"/>
        <v>False</v>
      </c>
      <c r="N12">
        <f t="shared" si="1"/>
        <v>5</v>
      </c>
      <c r="O12" t="str">
        <f t="shared" si="2"/>
        <v/>
      </c>
      <c r="P12">
        <f t="shared" si="3"/>
        <v>5</v>
      </c>
    </row>
    <row r="13" spans="1:19">
      <c r="A13" s="1">
        <v>1007382</v>
      </c>
      <c r="B13" s="1" t="s">
        <v>209</v>
      </c>
      <c r="C13" s="1" t="s">
        <v>237</v>
      </c>
      <c r="D13" s="1" t="s">
        <v>190</v>
      </c>
      <c r="E13" s="1" t="s">
        <v>238</v>
      </c>
      <c r="F13" s="1" t="s">
        <v>5</v>
      </c>
      <c r="G13" s="1" t="s">
        <v>239</v>
      </c>
      <c r="H13" s="2">
        <v>46224.524305555555</v>
      </c>
      <c r="I13" s="1"/>
      <c r="J13" s="1"/>
      <c r="K13" s="2">
        <f>Velocity!$B$28</f>
        <v>46232</v>
      </c>
      <c r="L13" s="2">
        <f>Velocity!$C$28</f>
        <v>46245.999305555553</v>
      </c>
      <c r="M13" t="str">
        <f t="shared" si="0"/>
        <v>False</v>
      </c>
      <c r="N13">
        <f t="shared" si="1"/>
        <v>0</v>
      </c>
      <c r="O13" t="str">
        <f t="shared" si="2"/>
        <v/>
      </c>
      <c r="P13">
        <f t="shared" si="3"/>
        <v>0</v>
      </c>
    </row>
    <row r="14" spans="1:19">
      <c r="A14" s="1">
        <v>1009575</v>
      </c>
      <c r="B14" s="1" t="s">
        <v>170</v>
      </c>
      <c r="C14" s="1" t="s">
        <v>240</v>
      </c>
      <c r="D14" s="1" t="s">
        <v>213</v>
      </c>
      <c r="E14" s="1" t="s">
        <v>213</v>
      </c>
      <c r="F14" s="1" t="s">
        <v>5</v>
      </c>
      <c r="G14" s="1" t="s">
        <v>241</v>
      </c>
      <c r="H14" s="2">
        <v>46226.572222222225</v>
      </c>
      <c r="I14" s="1">
        <v>2</v>
      </c>
      <c r="J14" s="1"/>
      <c r="K14" s="2">
        <f>Velocity!$B$28</f>
        <v>46232</v>
      </c>
      <c r="L14" s="2">
        <f>Velocity!$C$28</f>
        <v>46245.999305555553</v>
      </c>
      <c r="M14" t="str">
        <f t="shared" si="0"/>
        <v>False</v>
      </c>
      <c r="N14">
        <f t="shared" si="1"/>
        <v>2</v>
      </c>
      <c r="O14" t="str">
        <f t="shared" si="2"/>
        <v/>
      </c>
      <c r="P14">
        <f t="shared" si="3"/>
        <v>2</v>
      </c>
    </row>
    <row r="15" spans="1:19">
      <c r="A15" s="1">
        <v>1009998</v>
      </c>
      <c r="B15" s="1" t="s">
        <v>170</v>
      </c>
      <c r="C15" s="1" t="s">
        <v>242</v>
      </c>
      <c r="D15" s="1" t="s">
        <v>190</v>
      </c>
      <c r="E15" s="1" t="s">
        <v>203</v>
      </c>
      <c r="F15" s="1" t="s">
        <v>5</v>
      </c>
      <c r="G15" s="1"/>
      <c r="H15" s="2">
        <v>46227.349305555559</v>
      </c>
      <c r="I15" s="1">
        <v>0</v>
      </c>
      <c r="J15" s="1"/>
      <c r="K15" s="2">
        <f>Velocity!$B$28</f>
        <v>46232</v>
      </c>
      <c r="L15" s="2">
        <f>Velocity!$C$28</f>
        <v>46245.999305555553</v>
      </c>
      <c r="M15" t="str">
        <f t="shared" si="0"/>
        <v>False</v>
      </c>
      <c r="N15">
        <f t="shared" si="1"/>
        <v>0</v>
      </c>
      <c r="O15" t="str">
        <f t="shared" si="2"/>
        <v/>
      </c>
      <c r="P15">
        <f t="shared" si="3"/>
        <v>0</v>
      </c>
    </row>
    <row r="16" spans="1:19">
      <c r="A16" s="1">
        <v>1011379</v>
      </c>
      <c r="B16" s="1" t="s">
        <v>170</v>
      </c>
      <c r="C16" s="1" t="s">
        <v>243</v>
      </c>
      <c r="D16" s="1" t="s">
        <v>199</v>
      </c>
      <c r="E16" s="1" t="s">
        <v>199</v>
      </c>
      <c r="F16" s="1" t="s">
        <v>5</v>
      </c>
      <c r="G16" s="1" t="s">
        <v>241</v>
      </c>
      <c r="H16" s="2">
        <v>46230.604861111111</v>
      </c>
      <c r="I16" s="1">
        <v>8</v>
      </c>
      <c r="J16" s="1"/>
      <c r="K16" s="2">
        <f>Velocity!$B$28</f>
        <v>46232</v>
      </c>
      <c r="L16" s="2">
        <f>Velocity!$C$28</f>
        <v>46245.999305555553</v>
      </c>
      <c r="M16" t="str">
        <f t="shared" si="0"/>
        <v>False</v>
      </c>
      <c r="N16">
        <f t="shared" si="1"/>
        <v>8</v>
      </c>
      <c r="O16" t="str">
        <f t="shared" si="2"/>
        <v/>
      </c>
      <c r="P16">
        <f t="shared" si="3"/>
        <v>8</v>
      </c>
    </row>
    <row r="17" spans="1:16">
      <c r="A17" s="1">
        <v>1011645</v>
      </c>
      <c r="B17" s="1" t="s">
        <v>170</v>
      </c>
      <c r="C17" s="1" t="s">
        <v>244</v>
      </c>
      <c r="D17" s="1" t="s">
        <v>174</v>
      </c>
      <c r="E17" s="1" t="s">
        <v>174</v>
      </c>
      <c r="F17" s="1" t="s">
        <v>5</v>
      </c>
      <c r="G17" s="1" t="s">
        <v>245</v>
      </c>
      <c r="H17" s="2">
        <v>46230.686805555553</v>
      </c>
      <c r="I17" s="1">
        <v>8</v>
      </c>
      <c r="J17" s="1"/>
      <c r="K17" s="2">
        <f>Velocity!$B$28</f>
        <v>46232</v>
      </c>
      <c r="L17" s="2">
        <f>Velocity!$C$28</f>
        <v>46245.999305555553</v>
      </c>
      <c r="M17" t="str">
        <f t="shared" si="0"/>
        <v>False</v>
      </c>
      <c r="N17">
        <f t="shared" si="1"/>
        <v>8</v>
      </c>
      <c r="O17" t="str">
        <f t="shared" si="2"/>
        <v/>
      </c>
      <c r="P17">
        <f t="shared" si="3"/>
        <v>8</v>
      </c>
    </row>
    <row r="18" spans="1:16">
      <c r="A18" s="1">
        <v>1016190</v>
      </c>
      <c r="B18" s="1" t="s">
        <v>170</v>
      </c>
      <c r="C18" s="1" t="s">
        <v>246</v>
      </c>
      <c r="D18" s="1" t="s">
        <v>178</v>
      </c>
      <c r="E18" s="1" t="s">
        <v>178</v>
      </c>
      <c r="F18" s="1" t="s">
        <v>5</v>
      </c>
      <c r="G18" s="1"/>
      <c r="H18" s="2">
        <v>46234.209027777775</v>
      </c>
      <c r="I18" s="1">
        <v>5</v>
      </c>
      <c r="J18" s="1"/>
      <c r="K18" s="2">
        <f>Velocity!$B$28</f>
        <v>46232</v>
      </c>
      <c r="L18" s="2">
        <f>Velocity!$C$28</f>
        <v>46245.999305555553</v>
      </c>
      <c r="M18" t="str">
        <f t="shared" si="0"/>
        <v>True</v>
      </c>
      <c r="N18" t="str">
        <f t="shared" si="1"/>
        <v/>
      </c>
      <c r="O18">
        <f t="shared" si="2"/>
        <v>5</v>
      </c>
      <c r="P18">
        <f t="shared" si="3"/>
        <v>5</v>
      </c>
    </row>
    <row r="19" spans="1:16">
      <c r="A19" s="1">
        <v>1016347</v>
      </c>
      <c r="B19" s="1" t="s">
        <v>170</v>
      </c>
      <c r="C19" s="1" t="s">
        <v>247</v>
      </c>
      <c r="D19" s="1" t="s">
        <v>194</v>
      </c>
      <c r="E19" s="1" t="s">
        <v>194</v>
      </c>
      <c r="F19" s="1" t="s">
        <v>5</v>
      </c>
      <c r="G19" s="1"/>
      <c r="H19" s="2">
        <v>46234.36041666667</v>
      </c>
      <c r="I19" s="1">
        <v>2</v>
      </c>
      <c r="J19" s="1"/>
      <c r="K19" s="2">
        <f>Velocity!$B$28</f>
        <v>46232</v>
      </c>
      <c r="L19" s="2">
        <f>Velocity!$C$28</f>
        <v>46245.999305555553</v>
      </c>
      <c r="M19" t="str">
        <f t="shared" si="0"/>
        <v>True</v>
      </c>
      <c r="N19" t="str">
        <f t="shared" si="1"/>
        <v/>
      </c>
      <c r="O19">
        <f t="shared" si="2"/>
        <v>2</v>
      </c>
      <c r="P19">
        <f t="shared" si="3"/>
        <v>2</v>
      </c>
    </row>
    <row r="20" spans="1:16">
      <c r="A20" s="1">
        <v>1018644</v>
      </c>
      <c r="B20" s="1" t="s">
        <v>170</v>
      </c>
      <c r="C20" s="1" t="s">
        <v>248</v>
      </c>
      <c r="D20" s="1" t="s">
        <v>180</v>
      </c>
      <c r="E20" s="1" t="s">
        <v>180</v>
      </c>
      <c r="F20" s="1" t="s">
        <v>5</v>
      </c>
      <c r="G20" s="1" t="s">
        <v>233</v>
      </c>
      <c r="H20" s="2">
        <v>46238.583333333336</v>
      </c>
      <c r="I20" s="1">
        <v>3</v>
      </c>
      <c r="J20" s="1"/>
      <c r="K20" s="2">
        <f>Velocity!$B$28</f>
        <v>46232</v>
      </c>
      <c r="L20" s="2">
        <f>Velocity!$C$28</f>
        <v>46245.999305555553</v>
      </c>
      <c r="M20" t="str">
        <f t="shared" si="0"/>
        <v>True</v>
      </c>
      <c r="N20" t="str">
        <f t="shared" si="1"/>
        <v/>
      </c>
      <c r="O20">
        <f t="shared" si="2"/>
        <v>3</v>
      </c>
      <c r="P20">
        <f t="shared" si="3"/>
        <v>3</v>
      </c>
    </row>
    <row r="21" spans="1:16">
      <c r="A21" s="1">
        <v>1020579</v>
      </c>
      <c r="B21" s="1" t="s">
        <v>209</v>
      </c>
      <c r="C21" s="1" t="s">
        <v>211</v>
      </c>
      <c r="D21" s="1" t="s">
        <v>194</v>
      </c>
      <c r="E21" s="1" t="s">
        <v>194</v>
      </c>
      <c r="F21" s="1" t="s">
        <v>5</v>
      </c>
      <c r="G21" s="1"/>
      <c r="H21" s="2">
        <v>46240.576388888891</v>
      </c>
      <c r="I21" s="1">
        <v>2</v>
      </c>
      <c r="J21" s="1"/>
      <c r="K21" s="2">
        <f>Velocity!$B$28</f>
        <v>46232</v>
      </c>
      <c r="L21" s="2">
        <f>Velocity!$C$28</f>
        <v>46245.999305555553</v>
      </c>
      <c r="M21" t="str">
        <f t="shared" si="0"/>
        <v>True</v>
      </c>
      <c r="N21" t="str">
        <f t="shared" si="1"/>
        <v/>
      </c>
      <c r="O21">
        <f t="shared" si="2"/>
        <v>2</v>
      </c>
      <c r="P21">
        <f t="shared" si="3"/>
        <v>2</v>
      </c>
    </row>
    <row r="22" spans="1:16">
      <c r="K22" s="2"/>
      <c r="L22" s="2"/>
    </row>
  </sheetData>
  <autoFilter ref="A2:N21" xr:uid="{D1E679E3-BCFC-46E8-A81D-124DE3D3DA8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A746-7754-4D99-938E-1127849ED8AC}">
  <dimension ref="A1:R78"/>
  <sheetViews>
    <sheetView workbookViewId="0"/>
  </sheetViews>
  <sheetFormatPr defaultRowHeight="15"/>
  <cols>
    <col min="3" max="3" width="113.42578125" bestFit="1" customWidth="1"/>
    <col min="4" max="5" width="14" customWidth="1"/>
    <col min="6" max="6" width="20.28515625" customWidth="1"/>
    <col min="8" max="8" width="17" bestFit="1" customWidth="1"/>
    <col min="11" max="11" width="14.85546875" bestFit="1" customWidth="1"/>
    <col min="12" max="12" width="16" bestFit="1" customWidth="1"/>
    <col min="13" max="14" width="10.5703125" customWidth="1"/>
  </cols>
  <sheetData>
    <row r="1" spans="1:18">
      <c r="A1" s="3" t="s">
        <v>168</v>
      </c>
    </row>
    <row r="2" spans="1:18" ht="45.75">
      <c r="A2" s="4" t="s">
        <v>63</v>
      </c>
      <c r="B2" s="4" t="s">
        <v>158</v>
      </c>
      <c r="C2" s="4" t="s">
        <v>159</v>
      </c>
      <c r="D2" s="4" t="s">
        <v>160</v>
      </c>
      <c r="E2" s="4" t="s">
        <v>161</v>
      </c>
      <c r="F2" s="4" t="s">
        <v>162</v>
      </c>
      <c r="G2" s="4" t="s">
        <v>163</v>
      </c>
      <c r="H2" s="4" t="s">
        <v>164</v>
      </c>
      <c r="I2" s="4" t="s">
        <v>216</v>
      </c>
      <c r="J2" s="4" t="s">
        <v>166</v>
      </c>
      <c r="K2" s="5" t="s">
        <v>1</v>
      </c>
      <c r="L2" s="5" t="s">
        <v>2</v>
      </c>
      <c r="M2" s="5" t="s">
        <v>167</v>
      </c>
      <c r="N2" s="5"/>
      <c r="O2" s="5" t="s">
        <v>169</v>
      </c>
    </row>
    <row r="3" spans="1:18">
      <c r="A3" s="1">
        <v>838699</v>
      </c>
      <c r="B3" s="1" t="s">
        <v>170</v>
      </c>
      <c r="C3" s="1" t="s">
        <v>249</v>
      </c>
      <c r="D3" s="1" t="s">
        <v>199</v>
      </c>
      <c r="E3" s="1" t="s">
        <v>199</v>
      </c>
      <c r="F3" s="1" t="s">
        <v>250</v>
      </c>
      <c r="G3" s="1" t="s">
        <v>251</v>
      </c>
      <c r="H3" s="2">
        <v>46002.418749999997</v>
      </c>
      <c r="I3" s="1">
        <v>8</v>
      </c>
      <c r="J3" s="1">
        <v>3</v>
      </c>
      <c r="K3" s="12">
        <f>Velocity!$B$29</f>
        <v>46246</v>
      </c>
      <c r="L3" s="12">
        <f>Velocity!$C$29</f>
        <v>46259.999305555553</v>
      </c>
      <c r="M3" t="str">
        <f t="shared" ref="M3:M30" si="0">IF(K3&lt;H3,"True","False")</f>
        <v>False</v>
      </c>
      <c r="O3" t="str">
        <f>IF(M3="True",I3,"")</f>
        <v/>
      </c>
      <c r="R3">
        <f>-SUM(J3:J30)+SUM(I3:I30)</f>
        <v>105</v>
      </c>
    </row>
    <row r="4" spans="1:18">
      <c r="A4" s="1">
        <v>931743</v>
      </c>
      <c r="B4" s="1" t="s">
        <v>170</v>
      </c>
      <c r="C4" s="1" t="s">
        <v>252</v>
      </c>
      <c r="D4" s="1"/>
      <c r="E4" s="1" t="s">
        <v>253</v>
      </c>
      <c r="F4" s="1" t="s">
        <v>250</v>
      </c>
      <c r="G4" s="1" t="s">
        <v>254</v>
      </c>
      <c r="H4" s="2">
        <v>46127.486111111109</v>
      </c>
      <c r="I4" s="1">
        <v>5</v>
      </c>
      <c r="J4" s="1"/>
      <c r="K4" s="12">
        <f>Velocity!$B$29</f>
        <v>46246</v>
      </c>
      <c r="L4" s="12">
        <f>Velocity!$C$29</f>
        <v>46259.999305555553</v>
      </c>
      <c r="M4" t="str">
        <f t="shared" si="0"/>
        <v>False</v>
      </c>
      <c r="O4" t="str">
        <f t="shared" ref="O4:O30" si="1">IF(M4="True",I4,"")</f>
        <v/>
      </c>
    </row>
    <row r="5" spans="1:18">
      <c r="A5" s="1">
        <v>931776</v>
      </c>
      <c r="B5" s="1" t="s">
        <v>170</v>
      </c>
      <c r="C5" s="1" t="s">
        <v>255</v>
      </c>
      <c r="D5" s="1" t="s">
        <v>178</v>
      </c>
      <c r="E5" s="1" t="s">
        <v>178</v>
      </c>
      <c r="F5" s="1" t="s">
        <v>250</v>
      </c>
      <c r="G5" s="1" t="s">
        <v>225</v>
      </c>
      <c r="H5" s="2">
        <v>46127.5</v>
      </c>
      <c r="I5" s="1">
        <v>5</v>
      </c>
      <c r="J5" s="1"/>
      <c r="K5" s="12">
        <f>Velocity!$B$29</f>
        <v>46246</v>
      </c>
      <c r="L5" s="12">
        <f>Velocity!$C$29</f>
        <v>46259.999305555553</v>
      </c>
      <c r="M5" t="str">
        <f t="shared" si="0"/>
        <v>False</v>
      </c>
      <c r="O5" t="str">
        <f t="shared" si="1"/>
        <v/>
      </c>
    </row>
    <row r="6" spans="1:18">
      <c r="A6" s="1">
        <v>931789</v>
      </c>
      <c r="B6" s="1" t="s">
        <v>170</v>
      </c>
      <c r="C6" s="1" t="s">
        <v>256</v>
      </c>
      <c r="D6" s="1" t="s">
        <v>176</v>
      </c>
      <c r="E6" s="1" t="s">
        <v>176</v>
      </c>
      <c r="F6" s="1" t="s">
        <v>250</v>
      </c>
      <c r="G6" s="1" t="s">
        <v>225</v>
      </c>
      <c r="H6" s="2">
        <v>46127.515277777777</v>
      </c>
      <c r="I6" s="1">
        <v>8</v>
      </c>
      <c r="J6" s="1"/>
      <c r="K6" s="12">
        <f>Velocity!$B$29</f>
        <v>46246</v>
      </c>
      <c r="L6" s="12">
        <f>Velocity!$C$29</f>
        <v>46259.999305555553</v>
      </c>
      <c r="M6" t="str">
        <f t="shared" si="0"/>
        <v>False</v>
      </c>
      <c r="O6" t="str">
        <f t="shared" si="1"/>
        <v/>
      </c>
    </row>
    <row r="7" spans="1:18">
      <c r="A7" s="1">
        <v>946206</v>
      </c>
      <c r="B7" s="1" t="s">
        <v>170</v>
      </c>
      <c r="C7" s="1" t="s">
        <v>257</v>
      </c>
      <c r="D7" s="1"/>
      <c r="E7" s="1" t="s">
        <v>203</v>
      </c>
      <c r="F7" s="1" t="s">
        <v>250</v>
      </c>
      <c r="G7" s="1" t="s">
        <v>258</v>
      </c>
      <c r="H7" s="2">
        <v>46147.384722222225</v>
      </c>
      <c r="I7" s="1">
        <v>5</v>
      </c>
      <c r="J7" s="1"/>
      <c r="K7" s="12">
        <f>Velocity!$B$29</f>
        <v>46246</v>
      </c>
      <c r="L7" s="12">
        <f>Velocity!$C$29</f>
        <v>46259.999305555553</v>
      </c>
      <c r="M7" t="str">
        <f t="shared" si="0"/>
        <v>False</v>
      </c>
      <c r="O7" t="str">
        <f t="shared" si="1"/>
        <v/>
      </c>
    </row>
    <row r="8" spans="1:18">
      <c r="A8" s="1">
        <v>959000</v>
      </c>
      <c r="B8" s="1" t="s">
        <v>170</v>
      </c>
      <c r="C8" s="1" t="s">
        <v>259</v>
      </c>
      <c r="D8" s="1" t="s">
        <v>184</v>
      </c>
      <c r="E8" s="1" t="s">
        <v>184</v>
      </c>
      <c r="F8" s="1" t="s">
        <v>250</v>
      </c>
      <c r="G8" s="1" t="s">
        <v>260</v>
      </c>
      <c r="H8" s="2">
        <v>46164.384722222225</v>
      </c>
      <c r="I8" s="1">
        <v>5</v>
      </c>
      <c r="J8" s="1">
        <v>2</v>
      </c>
      <c r="K8" s="12">
        <f>Velocity!$B$29</f>
        <v>46246</v>
      </c>
      <c r="L8" s="12">
        <f>Velocity!$C$29</f>
        <v>46259.999305555553</v>
      </c>
      <c r="M8" t="str">
        <f t="shared" si="0"/>
        <v>False</v>
      </c>
      <c r="O8" t="str">
        <f t="shared" si="1"/>
        <v/>
      </c>
    </row>
    <row r="9" spans="1:18">
      <c r="A9" s="1">
        <v>965962</v>
      </c>
      <c r="B9" s="1" t="s">
        <v>170</v>
      </c>
      <c r="C9" s="1" t="s">
        <v>261</v>
      </c>
      <c r="D9" s="1" t="s">
        <v>184</v>
      </c>
      <c r="E9" s="1" t="s">
        <v>184</v>
      </c>
      <c r="F9" s="1" t="s">
        <v>5</v>
      </c>
      <c r="G9" s="1" t="s">
        <v>236</v>
      </c>
      <c r="H9" s="2">
        <v>46175.679861111108</v>
      </c>
      <c r="I9" s="1">
        <v>5</v>
      </c>
      <c r="J9" s="1"/>
      <c r="K9" s="12">
        <f>Velocity!$B$29</f>
        <v>46246</v>
      </c>
      <c r="L9" s="12">
        <f>Velocity!$C$29</f>
        <v>46259.999305555553</v>
      </c>
      <c r="M9" t="str">
        <f t="shared" si="0"/>
        <v>False</v>
      </c>
      <c r="O9" t="str">
        <f t="shared" si="1"/>
        <v/>
      </c>
    </row>
    <row r="10" spans="1:18">
      <c r="A10" s="1">
        <v>984586</v>
      </c>
      <c r="B10" s="1" t="s">
        <v>170</v>
      </c>
      <c r="C10" s="1" t="s">
        <v>262</v>
      </c>
      <c r="D10" s="1" t="s">
        <v>172</v>
      </c>
      <c r="E10" s="1" t="s">
        <v>172</v>
      </c>
      <c r="F10" s="1" t="s">
        <v>5</v>
      </c>
      <c r="G10" s="1" t="s">
        <v>263</v>
      </c>
      <c r="H10" s="2">
        <v>46199.463194444441</v>
      </c>
      <c r="I10" s="1">
        <v>5</v>
      </c>
      <c r="J10" s="1">
        <v>1</v>
      </c>
      <c r="K10" s="12">
        <f>Velocity!$B$29</f>
        <v>46246</v>
      </c>
      <c r="L10" s="12">
        <f>Velocity!$C$29</f>
        <v>46259.999305555553</v>
      </c>
      <c r="M10" t="str">
        <f t="shared" si="0"/>
        <v>False</v>
      </c>
      <c r="O10" t="str">
        <f t="shared" si="1"/>
        <v/>
      </c>
    </row>
    <row r="11" spans="1:18">
      <c r="A11" s="1">
        <v>989844</v>
      </c>
      <c r="B11" s="1" t="s">
        <v>170</v>
      </c>
      <c r="C11" s="1" t="s">
        <v>264</v>
      </c>
      <c r="D11" s="1" t="s">
        <v>180</v>
      </c>
      <c r="E11" s="1" t="s">
        <v>180</v>
      </c>
      <c r="F11" s="1" t="s">
        <v>265</v>
      </c>
      <c r="G11" s="1" t="s">
        <v>241</v>
      </c>
      <c r="H11" s="2">
        <v>46205.356249999997</v>
      </c>
      <c r="I11" s="1">
        <v>5</v>
      </c>
      <c r="J11" s="1"/>
      <c r="K11" s="12">
        <f>Velocity!$B$29</f>
        <v>46246</v>
      </c>
      <c r="L11" s="12">
        <f>Velocity!$C$29</f>
        <v>46259.999305555553</v>
      </c>
      <c r="M11" t="str">
        <f t="shared" si="0"/>
        <v>False</v>
      </c>
      <c r="O11" t="str">
        <f t="shared" si="1"/>
        <v/>
      </c>
    </row>
    <row r="12" spans="1:18">
      <c r="A12" s="1">
        <v>991935</v>
      </c>
      <c r="B12" s="1" t="s">
        <v>170</v>
      </c>
      <c r="C12" s="1" t="s">
        <v>266</v>
      </c>
      <c r="D12" s="1" t="s">
        <v>194</v>
      </c>
      <c r="E12" s="1" t="s">
        <v>194</v>
      </c>
      <c r="F12" s="1" t="s">
        <v>250</v>
      </c>
      <c r="G12" s="1" t="s">
        <v>267</v>
      </c>
      <c r="H12" s="2">
        <v>46210.440972222219</v>
      </c>
      <c r="I12" s="1">
        <v>8</v>
      </c>
      <c r="J12" s="1"/>
      <c r="K12" s="12">
        <f>Velocity!$B$29</f>
        <v>46246</v>
      </c>
      <c r="L12" s="12">
        <f>Velocity!$C$29</f>
        <v>46259.999305555553</v>
      </c>
      <c r="M12" t="str">
        <f t="shared" si="0"/>
        <v>False</v>
      </c>
      <c r="O12" t="str">
        <f t="shared" si="1"/>
        <v/>
      </c>
    </row>
    <row r="13" spans="1:18">
      <c r="A13" s="1">
        <v>1001380</v>
      </c>
      <c r="B13" s="1" t="s">
        <v>170</v>
      </c>
      <c r="C13" s="1" t="s">
        <v>268</v>
      </c>
      <c r="D13" s="1" t="s">
        <v>176</v>
      </c>
      <c r="E13" s="1" t="s">
        <v>176</v>
      </c>
      <c r="F13" s="1" t="s">
        <v>5</v>
      </c>
      <c r="G13" s="1" t="s">
        <v>269</v>
      </c>
      <c r="H13" s="2">
        <v>46217.565972222219</v>
      </c>
      <c r="I13" s="1">
        <v>3</v>
      </c>
      <c r="J13" s="1"/>
      <c r="K13" s="12">
        <f>Velocity!$B$29</f>
        <v>46246</v>
      </c>
      <c r="L13" s="12">
        <f>Velocity!$C$29</f>
        <v>46259.999305555553</v>
      </c>
      <c r="M13" t="str">
        <f t="shared" si="0"/>
        <v>False</v>
      </c>
      <c r="O13" t="str">
        <f t="shared" si="1"/>
        <v/>
      </c>
    </row>
    <row r="14" spans="1:18" s="10" customFormat="1">
      <c r="A14" s="8">
        <v>1001701</v>
      </c>
      <c r="B14" s="8" t="s">
        <v>170</v>
      </c>
      <c r="C14" s="8" t="s">
        <v>270</v>
      </c>
      <c r="D14" s="8"/>
      <c r="E14" s="8"/>
      <c r="F14" s="8" t="s">
        <v>265</v>
      </c>
      <c r="G14" s="8" t="s">
        <v>220</v>
      </c>
      <c r="H14" s="9">
        <v>46217.738194444442</v>
      </c>
      <c r="I14" s="8">
        <v>13</v>
      </c>
      <c r="J14" s="8"/>
      <c r="K14" s="13">
        <f>Velocity!$B$29</f>
        <v>46246</v>
      </c>
      <c r="L14" s="13">
        <f>Velocity!$C$29</f>
        <v>46259.999305555553</v>
      </c>
      <c r="M14" s="10" t="str">
        <f t="shared" si="0"/>
        <v>False</v>
      </c>
      <c r="O14" s="10" t="str">
        <f t="shared" si="1"/>
        <v/>
      </c>
    </row>
    <row r="15" spans="1:18">
      <c r="A15" s="1">
        <v>1004134</v>
      </c>
      <c r="B15" s="1" t="s">
        <v>170</v>
      </c>
      <c r="C15" s="1" t="s">
        <v>271</v>
      </c>
      <c r="D15" s="1" t="s">
        <v>199</v>
      </c>
      <c r="E15" s="1" t="s">
        <v>199</v>
      </c>
      <c r="F15" s="1" t="s">
        <v>250</v>
      </c>
      <c r="G15" s="1" t="s">
        <v>241</v>
      </c>
      <c r="H15" s="2">
        <v>46218.635416666664</v>
      </c>
      <c r="I15" s="1">
        <v>5</v>
      </c>
      <c r="J15" s="1"/>
      <c r="K15" s="12">
        <f>Velocity!$B$29</f>
        <v>46246</v>
      </c>
      <c r="L15" s="12">
        <f>Velocity!$C$29</f>
        <v>46259.999305555553</v>
      </c>
      <c r="M15" t="str">
        <f t="shared" si="0"/>
        <v>False</v>
      </c>
      <c r="O15" t="str">
        <f t="shared" si="1"/>
        <v/>
      </c>
    </row>
    <row r="16" spans="1:18">
      <c r="A16" s="1">
        <v>1004762</v>
      </c>
      <c r="B16" s="1" t="s">
        <v>170</v>
      </c>
      <c r="C16" s="1" t="s">
        <v>272</v>
      </c>
      <c r="D16" s="1" t="s">
        <v>194</v>
      </c>
      <c r="E16" s="1" t="s">
        <v>194</v>
      </c>
      <c r="F16" s="1" t="s">
        <v>250</v>
      </c>
      <c r="G16" s="1" t="s">
        <v>267</v>
      </c>
      <c r="H16" s="2">
        <v>46219.418055555558</v>
      </c>
      <c r="I16" s="1">
        <v>5</v>
      </c>
      <c r="J16" s="1"/>
      <c r="K16" s="12">
        <f>Velocity!$B$29</f>
        <v>46246</v>
      </c>
      <c r="L16" s="12">
        <f>Velocity!$C$29</f>
        <v>46259.999305555553</v>
      </c>
      <c r="M16" t="str">
        <f t="shared" si="0"/>
        <v>False</v>
      </c>
      <c r="O16" t="str">
        <f t="shared" si="1"/>
        <v/>
      </c>
    </row>
    <row r="17" spans="1:15">
      <c r="A17" s="1">
        <v>1005763</v>
      </c>
      <c r="B17" s="1" t="s">
        <v>170</v>
      </c>
      <c r="C17" s="1" t="s">
        <v>273</v>
      </c>
      <c r="D17" s="1" t="s">
        <v>172</v>
      </c>
      <c r="E17" s="1" t="s">
        <v>172</v>
      </c>
      <c r="F17" s="1" t="s">
        <v>250</v>
      </c>
      <c r="G17" s="1" t="s">
        <v>233</v>
      </c>
      <c r="H17" s="2">
        <v>46220.393055555556</v>
      </c>
      <c r="I17" s="1">
        <v>5</v>
      </c>
      <c r="J17" s="1"/>
      <c r="K17" s="12">
        <f>Velocity!$B$29</f>
        <v>46246</v>
      </c>
      <c r="L17" s="12">
        <f>Velocity!$C$29</f>
        <v>46259.999305555553</v>
      </c>
      <c r="M17" t="str">
        <f t="shared" si="0"/>
        <v>False</v>
      </c>
      <c r="O17" t="str">
        <f t="shared" si="1"/>
        <v/>
      </c>
    </row>
    <row r="18" spans="1:15">
      <c r="A18" s="1">
        <v>1006172</v>
      </c>
      <c r="B18" s="1" t="s">
        <v>170</v>
      </c>
      <c r="C18" s="1" t="s">
        <v>274</v>
      </c>
      <c r="D18" s="1" t="s">
        <v>275</v>
      </c>
      <c r="E18" s="1" t="s">
        <v>275</v>
      </c>
      <c r="F18" s="1" t="s">
        <v>250</v>
      </c>
      <c r="G18" s="1" t="s">
        <v>241</v>
      </c>
      <c r="H18" s="2">
        <v>46220.645833333336</v>
      </c>
      <c r="I18" s="1">
        <v>3</v>
      </c>
      <c r="J18" s="1"/>
      <c r="K18" s="12">
        <f>Velocity!$B$29</f>
        <v>46246</v>
      </c>
      <c r="L18" s="12">
        <f>Velocity!$C$29</f>
        <v>46259.999305555553</v>
      </c>
      <c r="M18" t="str">
        <f t="shared" si="0"/>
        <v>False</v>
      </c>
      <c r="O18" t="str">
        <f t="shared" si="1"/>
        <v/>
      </c>
    </row>
    <row r="19" spans="1:15">
      <c r="A19" s="1">
        <v>1011559</v>
      </c>
      <c r="B19" s="1" t="s">
        <v>170</v>
      </c>
      <c r="C19" s="1" t="s">
        <v>276</v>
      </c>
      <c r="D19" s="1" t="s">
        <v>180</v>
      </c>
      <c r="E19" s="1" t="s">
        <v>180</v>
      </c>
      <c r="F19" s="1" t="s">
        <v>5</v>
      </c>
      <c r="G19" s="1" t="s">
        <v>277</v>
      </c>
      <c r="H19" s="2">
        <v>46230.636805555558</v>
      </c>
      <c r="I19" s="1">
        <v>8</v>
      </c>
      <c r="J19" s="1">
        <v>1</v>
      </c>
      <c r="K19" s="12">
        <f>Velocity!$B$29</f>
        <v>46246</v>
      </c>
      <c r="L19" s="12">
        <f>Velocity!$C$29</f>
        <v>46259.999305555553</v>
      </c>
      <c r="M19" t="str">
        <f t="shared" si="0"/>
        <v>False</v>
      </c>
      <c r="O19" t="str">
        <f t="shared" si="1"/>
        <v/>
      </c>
    </row>
    <row r="20" spans="1:15">
      <c r="A20" s="1">
        <v>1014332</v>
      </c>
      <c r="B20" s="1" t="s">
        <v>170</v>
      </c>
      <c r="C20" s="1" t="s">
        <v>278</v>
      </c>
      <c r="D20" s="1" t="s">
        <v>213</v>
      </c>
      <c r="E20" s="1" t="s">
        <v>213</v>
      </c>
      <c r="F20" s="1" t="s">
        <v>250</v>
      </c>
      <c r="G20" s="1" t="s">
        <v>277</v>
      </c>
      <c r="H20" s="2">
        <v>46232.494444444441</v>
      </c>
      <c r="I20" s="1">
        <v>5</v>
      </c>
      <c r="J20" s="1"/>
      <c r="K20" s="12">
        <f>Velocity!$B$29</f>
        <v>46246</v>
      </c>
      <c r="L20" s="12">
        <f>Velocity!$C$29</f>
        <v>46259.999305555553</v>
      </c>
      <c r="M20" t="str">
        <f t="shared" si="0"/>
        <v>False</v>
      </c>
      <c r="O20" t="str">
        <f t="shared" si="1"/>
        <v/>
      </c>
    </row>
    <row r="21" spans="1:15">
      <c r="A21" s="1">
        <v>1018654</v>
      </c>
      <c r="B21" s="1" t="s">
        <v>170</v>
      </c>
      <c r="C21" s="1" t="s">
        <v>279</v>
      </c>
      <c r="D21" s="1" t="s">
        <v>180</v>
      </c>
      <c r="E21" s="1" t="s">
        <v>180</v>
      </c>
      <c r="F21" s="1" t="s">
        <v>250</v>
      </c>
      <c r="G21" s="1" t="s">
        <v>241</v>
      </c>
      <c r="H21" s="2">
        <v>46238.585416666669</v>
      </c>
      <c r="I21" s="1">
        <v>3</v>
      </c>
      <c r="J21" s="1"/>
      <c r="K21" s="12">
        <f>Velocity!$B$29</f>
        <v>46246</v>
      </c>
      <c r="L21" s="12">
        <f>Velocity!$C$29</f>
        <v>46259.999305555553</v>
      </c>
      <c r="M21" t="str">
        <f t="shared" si="0"/>
        <v>False</v>
      </c>
      <c r="O21" t="str">
        <f t="shared" si="1"/>
        <v/>
      </c>
    </row>
    <row r="22" spans="1:15">
      <c r="A22" s="1">
        <v>1018843</v>
      </c>
      <c r="B22" s="1" t="s">
        <v>170</v>
      </c>
      <c r="C22" s="1" t="s">
        <v>280</v>
      </c>
      <c r="D22" s="1" t="s">
        <v>184</v>
      </c>
      <c r="E22" s="1" t="s">
        <v>184</v>
      </c>
      <c r="F22" s="1" t="s">
        <v>265</v>
      </c>
      <c r="G22" s="1" t="s">
        <v>267</v>
      </c>
      <c r="H22" s="2">
        <v>46238.739583333336</v>
      </c>
      <c r="I22" s="1">
        <v>2</v>
      </c>
      <c r="J22" s="1">
        <v>2</v>
      </c>
      <c r="K22" s="12">
        <f>Velocity!$B$29</f>
        <v>46246</v>
      </c>
      <c r="L22" s="12">
        <f>Velocity!$C$29</f>
        <v>46259.999305555553</v>
      </c>
      <c r="M22" t="str">
        <f t="shared" si="0"/>
        <v>False</v>
      </c>
      <c r="O22" t="str">
        <f t="shared" si="1"/>
        <v/>
      </c>
    </row>
    <row r="23" spans="1:15">
      <c r="A23" s="1">
        <v>1019434</v>
      </c>
      <c r="B23" s="1" t="s">
        <v>170</v>
      </c>
      <c r="C23" s="1" t="s">
        <v>281</v>
      </c>
      <c r="D23" s="1"/>
      <c r="E23" s="1" t="s">
        <v>282</v>
      </c>
      <c r="F23" s="1" t="s">
        <v>250</v>
      </c>
      <c r="G23" s="1" t="s">
        <v>283</v>
      </c>
      <c r="H23" s="2">
        <v>46239.540277777778</v>
      </c>
      <c r="I23" s="1">
        <v>0</v>
      </c>
      <c r="J23" s="1"/>
      <c r="K23" s="12">
        <f>Velocity!$B$29</f>
        <v>46246</v>
      </c>
      <c r="L23" s="12">
        <f>Velocity!$C$29</f>
        <v>46259.999305555553</v>
      </c>
      <c r="M23" t="str">
        <f t="shared" si="0"/>
        <v>False</v>
      </c>
      <c r="O23" t="str">
        <f t="shared" si="1"/>
        <v/>
      </c>
    </row>
    <row r="24" spans="1:15">
      <c r="A24" s="1">
        <v>1020034</v>
      </c>
      <c r="B24" s="1" t="s">
        <v>170</v>
      </c>
      <c r="C24" s="1" t="s">
        <v>284</v>
      </c>
      <c r="D24" s="1"/>
      <c r="E24" s="1" t="s">
        <v>238</v>
      </c>
      <c r="F24" s="1" t="s">
        <v>250</v>
      </c>
      <c r="G24" s="1" t="s">
        <v>285</v>
      </c>
      <c r="H24" s="2">
        <v>46239.960416666669</v>
      </c>
      <c r="I24" s="1">
        <v>0</v>
      </c>
      <c r="J24" s="1"/>
      <c r="K24" s="12">
        <f>Velocity!$B$29</f>
        <v>46246</v>
      </c>
      <c r="L24" s="12">
        <f>Velocity!$C$29</f>
        <v>46259.999305555553</v>
      </c>
      <c r="M24" t="str">
        <f t="shared" si="0"/>
        <v>False</v>
      </c>
      <c r="O24" t="str">
        <f t="shared" si="1"/>
        <v/>
      </c>
    </row>
    <row r="25" spans="1:15">
      <c r="A25" s="1">
        <v>1020721</v>
      </c>
      <c r="B25" s="1" t="s">
        <v>170</v>
      </c>
      <c r="C25" s="1" t="s">
        <v>286</v>
      </c>
      <c r="D25" s="1" t="s">
        <v>194</v>
      </c>
      <c r="E25" s="1" t="s">
        <v>194</v>
      </c>
      <c r="F25" s="1" t="s">
        <v>5</v>
      </c>
      <c r="G25" s="1" t="s">
        <v>287</v>
      </c>
      <c r="H25" s="2">
        <v>46240.70416666667</v>
      </c>
      <c r="I25" s="1">
        <v>2</v>
      </c>
      <c r="J25" s="1">
        <v>1</v>
      </c>
      <c r="K25" s="12">
        <f>Velocity!$B$29</f>
        <v>46246</v>
      </c>
      <c r="L25" s="12">
        <f>Velocity!$C$29</f>
        <v>46259.999305555553</v>
      </c>
      <c r="M25" t="str">
        <f t="shared" si="0"/>
        <v>False</v>
      </c>
      <c r="O25" t="str">
        <f t="shared" si="1"/>
        <v/>
      </c>
    </row>
    <row r="26" spans="1:15">
      <c r="A26" s="1">
        <v>1022127</v>
      </c>
      <c r="B26" s="1" t="s">
        <v>170</v>
      </c>
      <c r="C26" s="1" t="s">
        <v>288</v>
      </c>
      <c r="D26" s="1" t="s">
        <v>194</v>
      </c>
      <c r="E26" s="1" t="s">
        <v>194</v>
      </c>
      <c r="F26" s="1" t="s">
        <v>5</v>
      </c>
      <c r="G26" s="1" t="s">
        <v>289</v>
      </c>
      <c r="H26" s="2">
        <v>46244.612500000003</v>
      </c>
      <c r="I26" s="1">
        <v>3</v>
      </c>
      <c r="J26" s="1">
        <v>1</v>
      </c>
      <c r="K26" s="12">
        <f>Velocity!$B$29</f>
        <v>46246</v>
      </c>
      <c r="L26" s="12">
        <f>Velocity!$C$29</f>
        <v>46259.999305555553</v>
      </c>
      <c r="M26" t="str">
        <f t="shared" si="0"/>
        <v>False</v>
      </c>
      <c r="O26" t="str">
        <f t="shared" si="1"/>
        <v/>
      </c>
    </row>
    <row r="27" spans="1:15">
      <c r="A27" s="1">
        <v>1022744</v>
      </c>
      <c r="B27" s="1" t="s">
        <v>170</v>
      </c>
      <c r="C27" s="1" t="s">
        <v>290</v>
      </c>
      <c r="D27" s="1" t="s">
        <v>176</v>
      </c>
      <c r="E27" s="1" t="s">
        <v>176</v>
      </c>
      <c r="F27" s="1" t="s">
        <v>250</v>
      </c>
      <c r="G27" s="1" t="s">
        <v>241</v>
      </c>
      <c r="H27" s="2">
        <v>46245.456250000003</v>
      </c>
      <c r="I27" s="1">
        <v>3</v>
      </c>
      <c r="J27" s="1">
        <v>3</v>
      </c>
      <c r="K27" s="12">
        <f>Velocity!$B$29</f>
        <v>46246</v>
      </c>
      <c r="L27" s="12">
        <f>Velocity!$C$29</f>
        <v>46259.999305555553</v>
      </c>
      <c r="M27" t="str">
        <f t="shared" si="0"/>
        <v>False</v>
      </c>
      <c r="O27" t="str">
        <f t="shared" si="1"/>
        <v/>
      </c>
    </row>
    <row r="28" spans="1:15">
      <c r="A28" s="1">
        <v>1022796</v>
      </c>
      <c r="B28" s="1" t="s">
        <v>170</v>
      </c>
      <c r="C28" s="1" t="s">
        <v>246</v>
      </c>
      <c r="D28" s="1" t="s">
        <v>178</v>
      </c>
      <c r="E28" s="1" t="s">
        <v>178</v>
      </c>
      <c r="F28" s="1" t="s">
        <v>250</v>
      </c>
      <c r="G28" s="1" t="s">
        <v>267</v>
      </c>
      <c r="H28" s="2">
        <v>46245.493750000001</v>
      </c>
      <c r="I28" s="1">
        <v>5</v>
      </c>
      <c r="J28" s="1">
        <v>5</v>
      </c>
      <c r="K28" s="12">
        <f>Velocity!$B$29</f>
        <v>46246</v>
      </c>
      <c r="L28" s="12">
        <f>Velocity!$C$29</f>
        <v>46259.999305555553</v>
      </c>
      <c r="M28" t="str">
        <f t="shared" si="0"/>
        <v>False</v>
      </c>
      <c r="O28" t="str">
        <f t="shared" si="1"/>
        <v/>
      </c>
    </row>
    <row r="29" spans="1:15">
      <c r="A29" s="1">
        <v>1022839</v>
      </c>
      <c r="B29" s="1" t="s">
        <v>170</v>
      </c>
      <c r="C29" s="1" t="s">
        <v>291</v>
      </c>
      <c r="D29" s="1" t="s">
        <v>213</v>
      </c>
      <c r="E29" s="1" t="s">
        <v>213</v>
      </c>
      <c r="F29" s="1" t="s">
        <v>250</v>
      </c>
      <c r="G29" s="1" t="s">
        <v>292</v>
      </c>
      <c r="H29" s="2">
        <v>46245.505555555559</v>
      </c>
      <c r="I29" s="1">
        <v>5</v>
      </c>
      <c r="J29" s="1">
        <v>5</v>
      </c>
      <c r="K29" s="12">
        <f>Velocity!$B$29</f>
        <v>46246</v>
      </c>
      <c r="L29" s="12">
        <f>Velocity!$C$29</f>
        <v>46259.999305555553</v>
      </c>
      <c r="M29" t="str">
        <f t="shared" si="0"/>
        <v>False</v>
      </c>
      <c r="O29" t="str">
        <f t="shared" si="1"/>
        <v/>
      </c>
    </row>
    <row r="30" spans="1:15">
      <c r="A30" s="1">
        <v>1023610</v>
      </c>
      <c r="B30" s="1" t="s">
        <v>170</v>
      </c>
      <c r="C30" s="1" t="s">
        <v>293</v>
      </c>
      <c r="D30" s="1" t="s">
        <v>194</v>
      </c>
      <c r="E30" s="1" t="s">
        <v>194</v>
      </c>
      <c r="F30" s="1" t="s">
        <v>265</v>
      </c>
      <c r="G30" s="1" t="s">
        <v>267</v>
      </c>
      <c r="H30" s="2">
        <v>46245.660416666666</v>
      </c>
      <c r="I30" s="1">
        <v>2</v>
      </c>
      <c r="J30" s="1">
        <v>2</v>
      </c>
      <c r="K30" s="12">
        <f>Velocity!$B$29</f>
        <v>46246</v>
      </c>
      <c r="L30" s="12">
        <f>Velocity!$C$29</f>
        <v>46259.999305555553</v>
      </c>
      <c r="M30" t="str">
        <f t="shared" si="0"/>
        <v>False</v>
      </c>
      <c r="O30" t="str">
        <f t="shared" si="1"/>
        <v/>
      </c>
    </row>
    <row r="31" spans="1:15">
      <c r="A31" s="1"/>
      <c r="B31" s="1"/>
      <c r="C31" s="1"/>
      <c r="D31" s="1"/>
      <c r="E31" s="1"/>
      <c r="F31" s="1"/>
      <c r="G31" s="1"/>
      <c r="H31" s="2"/>
      <c r="I31" s="1"/>
      <c r="J31" s="1"/>
      <c r="K31" s="12"/>
      <c r="L31" s="12"/>
    </row>
    <row r="32" spans="1:15">
      <c r="A32" s="92" t="s">
        <v>294</v>
      </c>
      <c r="B32" s="1"/>
      <c r="C32" s="1"/>
      <c r="D32" s="1"/>
      <c r="E32" s="1"/>
      <c r="F32" s="1"/>
      <c r="G32" s="1"/>
      <c r="H32" s="2"/>
      <c r="I32" s="1"/>
      <c r="J32" s="1"/>
      <c r="K32" s="12"/>
      <c r="L32" s="12"/>
    </row>
    <row r="33" spans="1:16" s="95" customFormat="1" ht="60.75">
      <c r="A33" s="4" t="s">
        <v>63</v>
      </c>
      <c r="B33" s="4" t="s">
        <v>158</v>
      </c>
      <c r="C33" s="4" t="s">
        <v>159</v>
      </c>
      <c r="D33" s="4" t="s">
        <v>160</v>
      </c>
      <c r="E33" s="4" t="s">
        <v>161</v>
      </c>
      <c r="F33" s="4" t="s">
        <v>162</v>
      </c>
      <c r="G33" s="4" t="s">
        <v>163</v>
      </c>
      <c r="H33" s="4" t="s">
        <v>164</v>
      </c>
      <c r="I33" s="4" t="s">
        <v>165</v>
      </c>
      <c r="J33" s="4" t="s">
        <v>166</v>
      </c>
      <c r="K33" s="5" t="s">
        <v>1</v>
      </c>
      <c r="L33" s="5" t="s">
        <v>2</v>
      </c>
      <c r="M33" s="5" t="s">
        <v>167</v>
      </c>
      <c r="N33" s="5" t="s">
        <v>168</v>
      </c>
      <c r="O33" s="5" t="s">
        <v>169</v>
      </c>
      <c r="P33" s="94" t="s">
        <v>5</v>
      </c>
    </row>
    <row r="34" spans="1:16">
      <c r="A34" s="1">
        <v>989844</v>
      </c>
      <c r="B34" s="1" t="s">
        <v>170</v>
      </c>
      <c r="C34" s="1" t="s">
        <v>264</v>
      </c>
      <c r="D34" s="1" t="s">
        <v>180</v>
      </c>
      <c r="E34" s="1" t="s">
        <v>180</v>
      </c>
      <c r="F34" s="1" t="s">
        <v>265</v>
      </c>
      <c r="G34" s="1" t="s">
        <v>295</v>
      </c>
      <c r="H34" s="2">
        <v>46205.356249999997</v>
      </c>
      <c r="I34" s="1">
        <v>5</v>
      </c>
      <c r="J34" s="1">
        <v>5</v>
      </c>
      <c r="K34" s="12">
        <f>Velocity!$B$29</f>
        <v>46246</v>
      </c>
      <c r="L34" s="12">
        <f>Velocity!$C$29</f>
        <v>46259.999305555553</v>
      </c>
      <c r="M34" t="str">
        <f t="shared" ref="M34:M76" si="2">IF(K34&lt;H34,"True","False")</f>
        <v>False</v>
      </c>
      <c r="N34">
        <f>IF(M34="False",I34,"")</f>
        <v>5</v>
      </c>
      <c r="O34" t="str">
        <f t="shared" ref="O34:O76" si="3">IF(M34="True",I34,"")</f>
        <v/>
      </c>
      <c r="P34" t="str">
        <f>IF(J34&gt;0,"",I34)</f>
        <v/>
      </c>
    </row>
    <row r="35" spans="1:16">
      <c r="A35" s="1">
        <v>1011559</v>
      </c>
      <c r="B35" s="1" t="s">
        <v>170</v>
      </c>
      <c r="C35" s="1" t="s">
        <v>276</v>
      </c>
      <c r="D35" s="1" t="s">
        <v>180</v>
      </c>
      <c r="E35" s="1" t="s">
        <v>180</v>
      </c>
      <c r="F35" s="1" t="s">
        <v>5</v>
      </c>
      <c r="G35" s="1" t="s">
        <v>277</v>
      </c>
      <c r="H35" s="2">
        <v>46230.636805555558</v>
      </c>
      <c r="I35" s="1">
        <v>8</v>
      </c>
      <c r="J35" s="1"/>
      <c r="K35" s="12">
        <f>Velocity!$B$29</f>
        <v>46246</v>
      </c>
      <c r="L35" s="12">
        <f>Velocity!$C$29</f>
        <v>46259.999305555553</v>
      </c>
      <c r="M35" t="str">
        <f t="shared" si="2"/>
        <v>False</v>
      </c>
      <c r="N35">
        <f>IF(M35="False",I35,"")</f>
        <v>8</v>
      </c>
      <c r="O35" t="str">
        <f t="shared" si="3"/>
        <v/>
      </c>
      <c r="P35">
        <f t="shared" ref="P35:P76" si="4">IF(J35&gt;0,"",I35)</f>
        <v>8</v>
      </c>
    </row>
    <row r="36" spans="1:16">
      <c r="A36" s="1">
        <v>1018654</v>
      </c>
      <c r="B36" s="1" t="s">
        <v>170</v>
      </c>
      <c r="C36" s="1" t="s">
        <v>279</v>
      </c>
      <c r="D36" s="1" t="s">
        <v>180</v>
      </c>
      <c r="E36" s="1" t="s">
        <v>180</v>
      </c>
      <c r="F36" s="1" t="s">
        <v>250</v>
      </c>
      <c r="G36" s="1" t="s">
        <v>241</v>
      </c>
      <c r="H36" s="2">
        <v>46238.585416666669</v>
      </c>
      <c r="I36" s="1">
        <v>3</v>
      </c>
      <c r="J36" s="1"/>
      <c r="K36" s="12">
        <f>Velocity!$B$29</f>
        <v>46246</v>
      </c>
      <c r="L36" s="12">
        <f>Velocity!$C$29</f>
        <v>46259.999305555553</v>
      </c>
      <c r="M36" t="str">
        <f t="shared" si="2"/>
        <v>False</v>
      </c>
      <c r="N36">
        <f>IF(M36="False",I36,"")</f>
        <v>3</v>
      </c>
      <c r="O36" t="str">
        <f t="shared" si="3"/>
        <v/>
      </c>
      <c r="P36">
        <f t="shared" si="4"/>
        <v>3</v>
      </c>
    </row>
    <row r="37" spans="1:16">
      <c r="A37" s="1">
        <v>1026458</v>
      </c>
      <c r="B37" s="1" t="s">
        <v>170</v>
      </c>
      <c r="C37" s="1" t="s">
        <v>296</v>
      </c>
      <c r="D37" s="1" t="s">
        <v>180</v>
      </c>
      <c r="E37" s="1" t="s">
        <v>180</v>
      </c>
      <c r="F37" s="1" t="s">
        <v>5</v>
      </c>
      <c r="G37" s="1" t="s">
        <v>241</v>
      </c>
      <c r="H37" s="2">
        <v>46248.543749999997</v>
      </c>
      <c r="I37" s="1">
        <v>3</v>
      </c>
      <c r="J37" s="1"/>
      <c r="K37" s="12">
        <f>Velocity!$B$29</f>
        <v>46246</v>
      </c>
      <c r="L37" s="12">
        <f>Velocity!$C$29</f>
        <v>46259.999305555553</v>
      </c>
      <c r="M37" t="str">
        <f t="shared" si="2"/>
        <v>True</v>
      </c>
      <c r="N37" t="str">
        <f>IF(M37="False",I37,"")</f>
        <v/>
      </c>
      <c r="O37">
        <f t="shared" si="3"/>
        <v>3</v>
      </c>
      <c r="P37">
        <f t="shared" si="4"/>
        <v>3</v>
      </c>
    </row>
    <row r="38" spans="1:16">
      <c r="A38" s="1">
        <v>1026491</v>
      </c>
      <c r="B38" s="1" t="s">
        <v>170</v>
      </c>
      <c r="C38" s="1" t="s">
        <v>297</v>
      </c>
      <c r="D38" s="1" t="s">
        <v>180</v>
      </c>
      <c r="E38" s="1" t="s">
        <v>180</v>
      </c>
      <c r="F38" s="1" t="s">
        <v>5</v>
      </c>
      <c r="G38" s="1" t="s">
        <v>241</v>
      </c>
      <c r="H38" s="2">
        <v>46248.573611111111</v>
      </c>
      <c r="I38" s="1">
        <v>5</v>
      </c>
      <c r="J38" s="1"/>
      <c r="K38" s="12">
        <f>Velocity!$B$29</f>
        <v>46246</v>
      </c>
      <c r="L38" s="12">
        <f>Velocity!$C$29</f>
        <v>46259.999305555553</v>
      </c>
      <c r="M38" t="str">
        <f t="shared" si="2"/>
        <v>True</v>
      </c>
      <c r="N38" t="str">
        <f>IF(M38="False",I38,"")</f>
        <v/>
      </c>
      <c r="O38">
        <f t="shared" si="3"/>
        <v>5</v>
      </c>
      <c r="P38">
        <f t="shared" si="4"/>
        <v>5</v>
      </c>
    </row>
    <row r="39" spans="1:16">
      <c r="A39" s="1">
        <v>1029130</v>
      </c>
      <c r="B39" s="1" t="s">
        <v>170</v>
      </c>
      <c r="C39" s="1" t="s">
        <v>298</v>
      </c>
      <c r="D39" s="1" t="s">
        <v>180</v>
      </c>
      <c r="E39" s="1" t="s">
        <v>180</v>
      </c>
      <c r="F39" s="1" t="s">
        <v>5</v>
      </c>
      <c r="G39" s="1" t="s">
        <v>299</v>
      </c>
      <c r="H39" s="2">
        <v>46254.256249999999</v>
      </c>
      <c r="I39" s="1">
        <v>3</v>
      </c>
      <c r="J39" s="1"/>
      <c r="K39" s="12">
        <f>Velocity!$B$29</f>
        <v>46246</v>
      </c>
      <c r="L39" s="12">
        <f>Velocity!$C$29</f>
        <v>46259.999305555553</v>
      </c>
      <c r="M39" t="str">
        <f t="shared" si="2"/>
        <v>True</v>
      </c>
      <c r="N39" t="str">
        <f>IF(M39="False",I39,"")</f>
        <v/>
      </c>
      <c r="O39">
        <f t="shared" si="3"/>
        <v>3</v>
      </c>
      <c r="P39">
        <f t="shared" si="4"/>
        <v>3</v>
      </c>
    </row>
    <row r="40" spans="1:16">
      <c r="A40" s="1">
        <v>1028259</v>
      </c>
      <c r="B40" s="1" t="s">
        <v>170</v>
      </c>
      <c r="C40" s="1" t="s">
        <v>300</v>
      </c>
      <c r="D40" s="1" t="s">
        <v>172</v>
      </c>
      <c r="E40" s="1" t="s">
        <v>172</v>
      </c>
      <c r="F40" s="1" t="s">
        <v>301</v>
      </c>
      <c r="G40" s="1"/>
      <c r="H40" s="2">
        <v>46253.25</v>
      </c>
      <c r="I40" s="1">
        <v>2</v>
      </c>
      <c r="J40" s="1"/>
      <c r="K40" s="12">
        <f>Velocity!$B$29</f>
        <v>46246</v>
      </c>
      <c r="L40" s="12">
        <f>Velocity!$C$29</f>
        <v>46259.999305555553</v>
      </c>
      <c r="M40" t="str">
        <f t="shared" si="2"/>
        <v>True</v>
      </c>
      <c r="N40" t="str">
        <f>IF(M40="False",I40,"")</f>
        <v/>
      </c>
      <c r="O40">
        <f t="shared" si="3"/>
        <v>2</v>
      </c>
      <c r="P40">
        <f t="shared" si="4"/>
        <v>2</v>
      </c>
    </row>
    <row r="41" spans="1:16">
      <c r="A41" s="1">
        <v>1031391</v>
      </c>
      <c r="B41" s="1" t="s">
        <v>170</v>
      </c>
      <c r="C41" s="1" t="s">
        <v>302</v>
      </c>
      <c r="D41" s="1" t="s">
        <v>172</v>
      </c>
      <c r="E41" s="1" t="s">
        <v>172</v>
      </c>
      <c r="F41" s="1" t="s">
        <v>5</v>
      </c>
      <c r="G41" s="1" t="s">
        <v>241</v>
      </c>
      <c r="H41" s="2">
        <v>46258.648611111108</v>
      </c>
      <c r="I41" s="1">
        <v>5</v>
      </c>
      <c r="J41" s="1"/>
      <c r="K41" s="12">
        <f>Velocity!$B$29</f>
        <v>46246</v>
      </c>
      <c r="L41" s="12">
        <f>Velocity!$C$29</f>
        <v>46259.999305555553</v>
      </c>
      <c r="M41" t="str">
        <f t="shared" si="2"/>
        <v>True</v>
      </c>
      <c r="N41" t="str">
        <f>IF(M41="False",I41,"")</f>
        <v/>
      </c>
      <c r="O41">
        <f t="shared" si="3"/>
        <v>5</v>
      </c>
      <c r="P41">
        <f t="shared" si="4"/>
        <v>5</v>
      </c>
    </row>
    <row r="42" spans="1:16">
      <c r="A42" s="1">
        <v>1005763</v>
      </c>
      <c r="B42" s="1" t="s">
        <v>170</v>
      </c>
      <c r="C42" s="1" t="s">
        <v>273</v>
      </c>
      <c r="D42" s="1" t="s">
        <v>172</v>
      </c>
      <c r="E42" s="1" t="s">
        <v>172</v>
      </c>
      <c r="F42" s="1" t="s">
        <v>250</v>
      </c>
      <c r="G42" s="1" t="s">
        <v>233</v>
      </c>
      <c r="H42" s="2">
        <v>46220.393055555556</v>
      </c>
      <c r="I42" s="1">
        <v>5</v>
      </c>
      <c r="J42" s="1"/>
      <c r="K42" s="12">
        <f>Velocity!$B$29</f>
        <v>46246</v>
      </c>
      <c r="L42" s="12">
        <f>Velocity!$C$29</f>
        <v>46259.999305555553</v>
      </c>
      <c r="M42" t="str">
        <f t="shared" si="2"/>
        <v>False</v>
      </c>
      <c r="N42">
        <f>IF(M42="False",I42,"")</f>
        <v>5</v>
      </c>
      <c r="O42" t="str">
        <f t="shared" si="3"/>
        <v/>
      </c>
      <c r="P42">
        <f t="shared" si="4"/>
        <v>5</v>
      </c>
    </row>
    <row r="43" spans="1:16">
      <c r="A43" s="1">
        <v>984586</v>
      </c>
      <c r="B43" s="1" t="s">
        <v>170</v>
      </c>
      <c r="C43" s="1" t="s">
        <v>262</v>
      </c>
      <c r="D43" s="1" t="s">
        <v>172</v>
      </c>
      <c r="E43" s="1" t="s">
        <v>172</v>
      </c>
      <c r="F43" s="1" t="s">
        <v>5</v>
      </c>
      <c r="G43" s="1" t="s">
        <v>263</v>
      </c>
      <c r="H43" s="2">
        <v>46199.463194444441</v>
      </c>
      <c r="I43" s="1">
        <v>5</v>
      </c>
      <c r="J43" s="1"/>
      <c r="K43" s="12">
        <f>Velocity!$B$29</f>
        <v>46246</v>
      </c>
      <c r="L43" s="12">
        <f>Velocity!$C$29</f>
        <v>46259.999305555553</v>
      </c>
      <c r="M43" t="str">
        <f t="shared" si="2"/>
        <v>False</v>
      </c>
      <c r="N43">
        <f>IF(M43="False",I43,"")</f>
        <v>5</v>
      </c>
      <c r="O43" t="str">
        <f t="shared" si="3"/>
        <v/>
      </c>
      <c r="P43">
        <f t="shared" si="4"/>
        <v>5</v>
      </c>
    </row>
    <row r="44" spans="1:16">
      <c r="A44" s="1">
        <v>931743</v>
      </c>
      <c r="B44" s="1" t="s">
        <v>170</v>
      </c>
      <c r="C44" s="1" t="s">
        <v>252</v>
      </c>
      <c r="D44" s="1" t="s">
        <v>172</v>
      </c>
      <c r="E44" s="1" t="s">
        <v>172</v>
      </c>
      <c r="F44" s="1" t="s">
        <v>5</v>
      </c>
      <c r="G44" s="1" t="s">
        <v>254</v>
      </c>
      <c r="H44" s="2">
        <v>46127.486111111109</v>
      </c>
      <c r="I44" s="1">
        <v>5</v>
      </c>
      <c r="J44" s="1"/>
      <c r="K44" s="12">
        <f>Velocity!$B$29</f>
        <v>46246</v>
      </c>
      <c r="L44" s="12">
        <f>Velocity!$C$29</f>
        <v>46259.999305555553</v>
      </c>
      <c r="M44" t="str">
        <f t="shared" si="2"/>
        <v>False</v>
      </c>
      <c r="N44">
        <f>IF(M44="False",I44,"")</f>
        <v>5</v>
      </c>
      <c r="O44" t="str">
        <f t="shared" si="3"/>
        <v/>
      </c>
      <c r="P44">
        <f t="shared" si="4"/>
        <v>5</v>
      </c>
    </row>
    <row r="45" spans="1:16">
      <c r="A45" s="1">
        <v>838699</v>
      </c>
      <c r="B45" s="1" t="s">
        <v>170</v>
      </c>
      <c r="C45" s="1" t="s">
        <v>249</v>
      </c>
      <c r="D45" s="1" t="s">
        <v>199</v>
      </c>
      <c r="E45" s="1" t="s">
        <v>199</v>
      </c>
      <c r="F45" s="1" t="s">
        <v>250</v>
      </c>
      <c r="G45" s="1" t="s">
        <v>251</v>
      </c>
      <c r="H45" s="2">
        <v>46002.418749999997</v>
      </c>
      <c r="I45" s="1">
        <v>8</v>
      </c>
      <c r="J45" s="1"/>
      <c r="K45" s="12">
        <f>Velocity!$B$29</f>
        <v>46246</v>
      </c>
      <c r="L45" s="12">
        <f>Velocity!$C$29</f>
        <v>46259.999305555553</v>
      </c>
      <c r="M45" t="str">
        <f t="shared" si="2"/>
        <v>False</v>
      </c>
      <c r="N45">
        <f>IF(M45="False",I45,"")</f>
        <v>8</v>
      </c>
      <c r="O45" t="str">
        <f t="shared" si="3"/>
        <v/>
      </c>
      <c r="P45">
        <f t="shared" si="4"/>
        <v>8</v>
      </c>
    </row>
    <row r="46" spans="1:16">
      <c r="A46" s="1">
        <v>1004134</v>
      </c>
      <c r="B46" s="1" t="s">
        <v>170</v>
      </c>
      <c r="C46" s="1" t="s">
        <v>271</v>
      </c>
      <c r="D46" s="1" t="s">
        <v>199</v>
      </c>
      <c r="E46" s="1" t="s">
        <v>199</v>
      </c>
      <c r="F46" s="1" t="s">
        <v>250</v>
      </c>
      <c r="G46" s="1" t="s">
        <v>241</v>
      </c>
      <c r="H46" s="2">
        <v>46218.635416666664</v>
      </c>
      <c r="I46" s="1">
        <v>5</v>
      </c>
      <c r="J46" s="1"/>
      <c r="K46" s="12">
        <f>Velocity!$B$29</f>
        <v>46246</v>
      </c>
      <c r="L46" s="12">
        <f>Velocity!$C$29</f>
        <v>46259.999305555553</v>
      </c>
      <c r="M46" t="str">
        <f t="shared" si="2"/>
        <v>False</v>
      </c>
      <c r="N46">
        <f>IF(M46="False",I46,"")</f>
        <v>5</v>
      </c>
      <c r="O46" t="str">
        <f t="shared" si="3"/>
        <v/>
      </c>
      <c r="P46">
        <f t="shared" si="4"/>
        <v>5</v>
      </c>
    </row>
    <row r="47" spans="1:16">
      <c r="A47" s="1">
        <v>1019434</v>
      </c>
      <c r="B47" s="1" t="s">
        <v>170</v>
      </c>
      <c r="C47" s="1" t="s">
        <v>281</v>
      </c>
      <c r="D47" s="1" t="s">
        <v>282</v>
      </c>
      <c r="E47" s="1" t="s">
        <v>282</v>
      </c>
      <c r="F47" s="1" t="s">
        <v>5</v>
      </c>
      <c r="G47" s="1" t="s">
        <v>283</v>
      </c>
      <c r="H47" s="2">
        <v>46239.540277777778</v>
      </c>
      <c r="I47" s="1">
        <v>0</v>
      </c>
      <c r="J47" s="1"/>
      <c r="K47" s="12">
        <f>Velocity!$B$29</f>
        <v>46246</v>
      </c>
      <c r="L47" s="12">
        <f>Velocity!$C$29</f>
        <v>46259.999305555553</v>
      </c>
      <c r="M47" t="str">
        <f t="shared" si="2"/>
        <v>False</v>
      </c>
      <c r="N47">
        <f>IF(M47="False",I47,"")</f>
        <v>0</v>
      </c>
      <c r="O47" t="str">
        <f t="shared" si="3"/>
        <v/>
      </c>
      <c r="P47">
        <f t="shared" si="4"/>
        <v>0</v>
      </c>
    </row>
    <row r="48" spans="1:16">
      <c r="A48" s="1">
        <v>1020721</v>
      </c>
      <c r="B48" s="1" t="s">
        <v>170</v>
      </c>
      <c r="C48" s="1" t="s">
        <v>286</v>
      </c>
      <c r="D48" s="1" t="s">
        <v>194</v>
      </c>
      <c r="E48" s="1" t="s">
        <v>194</v>
      </c>
      <c r="F48" s="1" t="s">
        <v>5</v>
      </c>
      <c r="G48" s="1" t="s">
        <v>287</v>
      </c>
      <c r="H48" s="2">
        <v>46240.70416666667</v>
      </c>
      <c r="I48" s="1">
        <v>2</v>
      </c>
      <c r="J48" s="1"/>
      <c r="K48" s="12">
        <f>Velocity!$B$29</f>
        <v>46246</v>
      </c>
      <c r="L48" s="12">
        <f>Velocity!$C$29</f>
        <v>46259.999305555553</v>
      </c>
      <c r="M48" t="str">
        <f t="shared" si="2"/>
        <v>False</v>
      </c>
      <c r="N48">
        <f>IF(M48="False",I48,"")</f>
        <v>2</v>
      </c>
      <c r="O48" t="str">
        <f t="shared" si="3"/>
        <v/>
      </c>
      <c r="P48">
        <f t="shared" si="4"/>
        <v>2</v>
      </c>
    </row>
    <row r="49" spans="1:16">
      <c r="A49" s="1">
        <v>1022127</v>
      </c>
      <c r="B49" s="1" t="s">
        <v>170</v>
      </c>
      <c r="C49" s="1" t="s">
        <v>288</v>
      </c>
      <c r="D49" s="1" t="s">
        <v>194</v>
      </c>
      <c r="E49" s="1" t="s">
        <v>194</v>
      </c>
      <c r="F49" s="1" t="s">
        <v>5</v>
      </c>
      <c r="G49" s="1" t="s">
        <v>289</v>
      </c>
      <c r="H49" s="2">
        <v>46244.612500000003</v>
      </c>
      <c r="I49" s="1">
        <v>3</v>
      </c>
      <c r="J49" s="1"/>
      <c r="K49" s="12">
        <f>Velocity!$B$29</f>
        <v>46246</v>
      </c>
      <c r="L49" s="12">
        <f>Velocity!$C$29</f>
        <v>46259.999305555553</v>
      </c>
      <c r="M49" t="str">
        <f t="shared" si="2"/>
        <v>False</v>
      </c>
      <c r="N49">
        <f>IF(M49="False",I49,"")</f>
        <v>3</v>
      </c>
      <c r="O49" t="str">
        <f t="shared" si="3"/>
        <v/>
      </c>
      <c r="P49">
        <f t="shared" si="4"/>
        <v>3</v>
      </c>
    </row>
    <row r="50" spans="1:16">
      <c r="A50" s="1">
        <v>1023610</v>
      </c>
      <c r="B50" s="1" t="s">
        <v>170</v>
      </c>
      <c r="C50" s="1" t="s">
        <v>293</v>
      </c>
      <c r="D50" s="1" t="s">
        <v>194</v>
      </c>
      <c r="E50" s="1" t="s">
        <v>194</v>
      </c>
      <c r="F50" s="1" t="s">
        <v>5</v>
      </c>
      <c r="G50" s="1" t="s">
        <v>267</v>
      </c>
      <c r="H50" s="2">
        <v>46245.660416666666</v>
      </c>
      <c r="I50" s="1">
        <v>2</v>
      </c>
      <c r="J50" s="1"/>
      <c r="K50" s="12">
        <f>Velocity!$B$29</f>
        <v>46246</v>
      </c>
      <c r="L50" s="12">
        <f>Velocity!$C$29</f>
        <v>46259.999305555553</v>
      </c>
      <c r="M50" t="str">
        <f t="shared" si="2"/>
        <v>False</v>
      </c>
      <c r="N50">
        <f>IF(M50="False",I50,"")</f>
        <v>2</v>
      </c>
      <c r="O50" t="str">
        <f t="shared" si="3"/>
        <v/>
      </c>
      <c r="P50">
        <f t="shared" si="4"/>
        <v>2</v>
      </c>
    </row>
    <row r="51" spans="1:16">
      <c r="A51" s="1">
        <v>1004762</v>
      </c>
      <c r="B51" s="1" t="s">
        <v>170</v>
      </c>
      <c r="C51" s="1" t="s">
        <v>272</v>
      </c>
      <c r="D51" s="1" t="s">
        <v>194</v>
      </c>
      <c r="E51" s="1" t="s">
        <v>194</v>
      </c>
      <c r="F51" s="1" t="s">
        <v>265</v>
      </c>
      <c r="G51" s="1" t="s">
        <v>303</v>
      </c>
      <c r="H51" s="2">
        <v>46219.418055555558</v>
      </c>
      <c r="I51" s="1">
        <v>5</v>
      </c>
      <c r="J51" s="1">
        <v>5</v>
      </c>
      <c r="K51" s="12">
        <f>Velocity!$B$29</f>
        <v>46246</v>
      </c>
      <c r="L51" s="12">
        <f>Velocity!$C$29</f>
        <v>46259.999305555553</v>
      </c>
      <c r="M51" t="str">
        <f t="shared" si="2"/>
        <v>False</v>
      </c>
      <c r="N51">
        <f>IF(M51="False",I51,"")</f>
        <v>5</v>
      </c>
      <c r="O51" t="str">
        <f t="shared" si="3"/>
        <v/>
      </c>
      <c r="P51" t="str">
        <f t="shared" si="4"/>
        <v/>
      </c>
    </row>
    <row r="52" spans="1:16">
      <c r="A52" s="1">
        <v>991935</v>
      </c>
      <c r="B52" s="1" t="s">
        <v>170</v>
      </c>
      <c r="C52" s="1" t="s">
        <v>266</v>
      </c>
      <c r="D52" s="1" t="s">
        <v>194</v>
      </c>
      <c r="E52" s="1" t="s">
        <v>194</v>
      </c>
      <c r="F52" s="1" t="s">
        <v>5</v>
      </c>
      <c r="G52" s="1" t="s">
        <v>267</v>
      </c>
      <c r="H52" s="2">
        <v>46210.440972222219</v>
      </c>
      <c r="I52" s="1">
        <v>8</v>
      </c>
      <c r="J52" s="1"/>
      <c r="K52" s="12">
        <f>Velocity!$B$29</f>
        <v>46246</v>
      </c>
      <c r="L52" s="12">
        <f>Velocity!$C$29</f>
        <v>46259.999305555553</v>
      </c>
      <c r="M52" t="str">
        <f t="shared" si="2"/>
        <v>False</v>
      </c>
      <c r="N52">
        <f>IF(M52="False",I52,"")</f>
        <v>8</v>
      </c>
      <c r="O52" t="str">
        <f t="shared" si="3"/>
        <v/>
      </c>
      <c r="P52">
        <f t="shared" si="4"/>
        <v>8</v>
      </c>
    </row>
    <row r="53" spans="1:16">
      <c r="A53" s="1">
        <v>1031839</v>
      </c>
      <c r="B53" s="1" t="s">
        <v>170</v>
      </c>
      <c r="C53" s="1" t="s">
        <v>304</v>
      </c>
      <c r="D53" s="1" t="s">
        <v>194</v>
      </c>
      <c r="E53" s="1" t="s">
        <v>194</v>
      </c>
      <c r="F53" s="1" t="s">
        <v>5</v>
      </c>
      <c r="G53" s="1" t="s">
        <v>267</v>
      </c>
      <c r="H53" s="2">
        <v>46259.400694444441</v>
      </c>
      <c r="I53" s="1">
        <v>1</v>
      </c>
      <c r="J53" s="1"/>
      <c r="K53" s="12">
        <f>Velocity!$B$29</f>
        <v>46246</v>
      </c>
      <c r="L53" s="12">
        <f>Velocity!$C$29</f>
        <v>46259.999305555553</v>
      </c>
      <c r="M53" t="str">
        <f t="shared" si="2"/>
        <v>True</v>
      </c>
      <c r="N53" t="str">
        <f>IF(M53="False",I53,"")</f>
        <v/>
      </c>
      <c r="O53">
        <f t="shared" si="3"/>
        <v>1</v>
      </c>
      <c r="P53">
        <f t="shared" si="4"/>
        <v>1</v>
      </c>
    </row>
    <row r="54" spans="1:16">
      <c r="A54" s="1">
        <v>1027171</v>
      </c>
      <c r="B54" s="1" t="s">
        <v>170</v>
      </c>
      <c r="C54" s="1" t="s">
        <v>305</v>
      </c>
      <c r="D54" s="1" t="s">
        <v>194</v>
      </c>
      <c r="E54" s="1" t="s">
        <v>194</v>
      </c>
      <c r="F54" s="1" t="s">
        <v>5</v>
      </c>
      <c r="G54" s="1" t="s">
        <v>267</v>
      </c>
      <c r="H54" s="2">
        <v>46251.65</v>
      </c>
      <c r="I54" s="1">
        <v>3</v>
      </c>
      <c r="J54" s="1"/>
      <c r="K54" s="12">
        <f>Velocity!$B$29</f>
        <v>46246</v>
      </c>
      <c r="L54" s="12">
        <f>Velocity!$C$29</f>
        <v>46259.999305555553</v>
      </c>
      <c r="M54" t="str">
        <f t="shared" si="2"/>
        <v>True</v>
      </c>
      <c r="N54" t="str">
        <f>IF(M54="False",I54,"")</f>
        <v/>
      </c>
      <c r="O54">
        <f t="shared" si="3"/>
        <v>3</v>
      </c>
      <c r="P54">
        <f t="shared" si="4"/>
        <v>3</v>
      </c>
    </row>
    <row r="55" spans="1:16">
      <c r="A55" s="1">
        <v>1028617</v>
      </c>
      <c r="B55" s="1" t="s">
        <v>209</v>
      </c>
      <c r="C55" s="1" t="s">
        <v>306</v>
      </c>
      <c r="D55" s="1" t="s">
        <v>194</v>
      </c>
      <c r="E55" s="1" t="s">
        <v>194</v>
      </c>
      <c r="F55" s="1" t="s">
        <v>5</v>
      </c>
      <c r="G55" s="1"/>
      <c r="H55" s="2">
        <v>46253.497916666667</v>
      </c>
      <c r="I55" s="1">
        <v>3</v>
      </c>
      <c r="J55" s="1"/>
      <c r="K55" s="12">
        <f>Velocity!$B$29</f>
        <v>46246</v>
      </c>
      <c r="L55" s="12">
        <f>Velocity!$C$29</f>
        <v>46259.999305555553</v>
      </c>
      <c r="M55" t="str">
        <f t="shared" si="2"/>
        <v>True</v>
      </c>
      <c r="N55" t="str">
        <f>IF(M55="False",I55,"")</f>
        <v/>
      </c>
      <c r="O55">
        <f t="shared" si="3"/>
        <v>3</v>
      </c>
      <c r="P55">
        <f t="shared" si="4"/>
        <v>3</v>
      </c>
    </row>
    <row r="56" spans="1:16">
      <c r="A56" s="1">
        <v>959000</v>
      </c>
      <c r="B56" s="1" t="s">
        <v>170</v>
      </c>
      <c r="C56" s="1" t="s">
        <v>259</v>
      </c>
      <c r="D56" s="1" t="s">
        <v>184</v>
      </c>
      <c r="E56" s="1" t="s">
        <v>184</v>
      </c>
      <c r="F56" s="1" t="s">
        <v>250</v>
      </c>
      <c r="G56" s="1" t="s">
        <v>307</v>
      </c>
      <c r="H56" s="2">
        <v>46164.384722222225</v>
      </c>
      <c r="I56" s="1">
        <v>5</v>
      </c>
      <c r="J56" s="1">
        <v>2</v>
      </c>
      <c r="K56" s="12">
        <f>Velocity!$B$29</f>
        <v>46246</v>
      </c>
      <c r="L56" s="12">
        <f>Velocity!$C$29</f>
        <v>46259.999305555553</v>
      </c>
      <c r="M56" t="str">
        <f t="shared" si="2"/>
        <v>False</v>
      </c>
      <c r="N56">
        <f>IF(M56="False",I56,"")</f>
        <v>5</v>
      </c>
      <c r="O56" t="str">
        <f t="shared" si="3"/>
        <v/>
      </c>
      <c r="P56" t="str">
        <f t="shared" si="4"/>
        <v/>
      </c>
    </row>
    <row r="57" spans="1:16">
      <c r="A57" s="1">
        <v>965962</v>
      </c>
      <c r="B57" s="1" t="s">
        <v>170</v>
      </c>
      <c r="C57" s="1" t="s">
        <v>261</v>
      </c>
      <c r="D57" s="1" t="s">
        <v>184</v>
      </c>
      <c r="E57" s="1" t="s">
        <v>184</v>
      </c>
      <c r="F57" s="1" t="s">
        <v>5</v>
      </c>
      <c r="G57" s="1" t="s">
        <v>236</v>
      </c>
      <c r="H57" s="2">
        <v>46175.679861111108</v>
      </c>
      <c r="I57" s="1">
        <v>5</v>
      </c>
      <c r="J57" s="1"/>
      <c r="K57" s="12">
        <f>Velocity!$B$29</f>
        <v>46246</v>
      </c>
      <c r="L57" s="12">
        <f>Velocity!$C$29</f>
        <v>46259.999305555553</v>
      </c>
      <c r="M57" t="str">
        <f t="shared" si="2"/>
        <v>False</v>
      </c>
      <c r="N57">
        <f>IF(M57="False",I57,"")</f>
        <v>5</v>
      </c>
      <c r="O57" t="str">
        <f t="shared" si="3"/>
        <v/>
      </c>
      <c r="P57">
        <f t="shared" si="4"/>
        <v>5</v>
      </c>
    </row>
    <row r="58" spans="1:16">
      <c r="A58" s="1">
        <v>1018843</v>
      </c>
      <c r="B58" s="1" t="s">
        <v>170</v>
      </c>
      <c r="C58" s="1" t="s">
        <v>280</v>
      </c>
      <c r="D58" s="1" t="s">
        <v>184</v>
      </c>
      <c r="E58" s="1" t="s">
        <v>184</v>
      </c>
      <c r="F58" s="1" t="s">
        <v>265</v>
      </c>
      <c r="G58" s="1" t="s">
        <v>303</v>
      </c>
      <c r="H58" s="2">
        <v>46238.739583333336</v>
      </c>
      <c r="I58" s="1">
        <v>2</v>
      </c>
      <c r="J58" s="1">
        <v>2</v>
      </c>
      <c r="K58" s="12">
        <f>Velocity!$B$29</f>
        <v>46246</v>
      </c>
      <c r="L58" s="12">
        <f>Velocity!$C$29</f>
        <v>46259.999305555553</v>
      </c>
      <c r="M58" t="str">
        <f t="shared" si="2"/>
        <v>False</v>
      </c>
      <c r="N58">
        <f>IF(M58="False",I58,"")</f>
        <v>2</v>
      </c>
      <c r="O58" t="str">
        <f t="shared" si="3"/>
        <v/>
      </c>
      <c r="P58" t="str">
        <f t="shared" si="4"/>
        <v/>
      </c>
    </row>
    <row r="59" spans="1:16">
      <c r="A59" s="1">
        <v>1006172</v>
      </c>
      <c r="B59" s="1" t="s">
        <v>170</v>
      </c>
      <c r="C59" s="1" t="s">
        <v>274</v>
      </c>
      <c r="D59" s="1" t="s">
        <v>238</v>
      </c>
      <c r="E59" s="1" t="s">
        <v>238</v>
      </c>
      <c r="F59" s="8" t="s">
        <v>5</v>
      </c>
      <c r="G59" s="1" t="s">
        <v>241</v>
      </c>
      <c r="H59" s="2">
        <v>46220.645833333336</v>
      </c>
      <c r="I59" s="1">
        <v>3</v>
      </c>
      <c r="J59" s="1"/>
      <c r="K59" s="12">
        <f>Velocity!$B$29</f>
        <v>46246</v>
      </c>
      <c r="L59" s="12">
        <f>Velocity!$C$29</f>
        <v>46259.999305555553</v>
      </c>
      <c r="M59" t="str">
        <f t="shared" si="2"/>
        <v>False</v>
      </c>
      <c r="N59">
        <f>IF(M59="False",I59,"")</f>
        <v>3</v>
      </c>
      <c r="O59" t="str">
        <f t="shared" si="3"/>
        <v/>
      </c>
      <c r="P59">
        <f t="shared" si="4"/>
        <v>3</v>
      </c>
    </row>
    <row r="60" spans="1:16">
      <c r="A60" s="1">
        <v>931789</v>
      </c>
      <c r="B60" s="1" t="s">
        <v>170</v>
      </c>
      <c r="C60" s="1" t="s">
        <v>256</v>
      </c>
      <c r="D60" s="1" t="s">
        <v>176</v>
      </c>
      <c r="E60" s="1" t="s">
        <v>238</v>
      </c>
      <c r="F60" s="1" t="s">
        <v>250</v>
      </c>
      <c r="G60" s="1" t="s">
        <v>308</v>
      </c>
      <c r="H60" s="2">
        <v>46127.515277777777</v>
      </c>
      <c r="I60" s="1">
        <v>8</v>
      </c>
      <c r="J60" s="1">
        <v>2</v>
      </c>
      <c r="K60" s="12">
        <f>Velocity!$B$29</f>
        <v>46246</v>
      </c>
      <c r="L60" s="12">
        <f>Velocity!$C$29</f>
        <v>46259.999305555553</v>
      </c>
      <c r="M60" t="str">
        <f t="shared" si="2"/>
        <v>False</v>
      </c>
      <c r="N60">
        <f>IF(M60="False",I60,"")</f>
        <v>8</v>
      </c>
      <c r="O60" t="str">
        <f t="shared" si="3"/>
        <v/>
      </c>
      <c r="P60" t="str">
        <f t="shared" si="4"/>
        <v/>
      </c>
    </row>
    <row r="61" spans="1:16">
      <c r="A61" s="1">
        <v>1020034</v>
      </c>
      <c r="B61" s="1" t="s">
        <v>170</v>
      </c>
      <c r="C61" s="1" t="s">
        <v>284</v>
      </c>
      <c r="D61" s="1" t="s">
        <v>238</v>
      </c>
      <c r="E61" s="1" t="s">
        <v>238</v>
      </c>
      <c r="F61" s="8" t="s">
        <v>5</v>
      </c>
      <c r="G61" s="1" t="s">
        <v>285</v>
      </c>
      <c r="H61" s="2">
        <v>46239.960416666669</v>
      </c>
      <c r="I61" s="1">
        <v>0</v>
      </c>
      <c r="J61" s="1"/>
      <c r="K61" s="12">
        <f>Velocity!$B$29</f>
        <v>46246</v>
      </c>
      <c r="L61" s="12">
        <f>Velocity!$C$29</f>
        <v>46259.999305555553</v>
      </c>
      <c r="M61" t="str">
        <f t="shared" si="2"/>
        <v>False</v>
      </c>
      <c r="N61">
        <f>IF(M61="False",I61,"")</f>
        <v>0</v>
      </c>
      <c r="O61" t="str">
        <f t="shared" si="3"/>
        <v/>
      </c>
      <c r="P61">
        <f t="shared" si="4"/>
        <v>0</v>
      </c>
    </row>
    <row r="62" spans="1:16">
      <c r="A62" s="1">
        <v>1001380</v>
      </c>
      <c r="B62" s="1" t="s">
        <v>170</v>
      </c>
      <c r="C62" s="1" t="s">
        <v>268</v>
      </c>
      <c r="D62" s="1" t="s">
        <v>176</v>
      </c>
      <c r="E62" s="1" t="s">
        <v>176</v>
      </c>
      <c r="F62" s="1" t="s">
        <v>5</v>
      </c>
      <c r="G62" s="1" t="s">
        <v>269</v>
      </c>
      <c r="H62" s="2">
        <v>46217.565972222219</v>
      </c>
      <c r="I62" s="1">
        <v>3</v>
      </c>
      <c r="J62" s="1"/>
      <c r="K62" s="12">
        <f>Velocity!$B$29</f>
        <v>46246</v>
      </c>
      <c r="L62" s="12">
        <f>Velocity!$C$29</f>
        <v>46259.999305555553</v>
      </c>
      <c r="M62" t="str">
        <f t="shared" si="2"/>
        <v>False</v>
      </c>
      <c r="N62">
        <f>IF(M62="False",I62,"")</f>
        <v>3</v>
      </c>
      <c r="O62" t="str">
        <f t="shared" si="3"/>
        <v/>
      </c>
      <c r="P62">
        <f t="shared" si="4"/>
        <v>3</v>
      </c>
    </row>
    <row r="63" spans="1:16">
      <c r="A63" s="1">
        <v>1023907</v>
      </c>
      <c r="B63" s="1" t="s">
        <v>209</v>
      </c>
      <c r="C63" s="1" t="s">
        <v>309</v>
      </c>
      <c r="D63" s="1" t="s">
        <v>176</v>
      </c>
      <c r="E63" s="1" t="s">
        <v>176</v>
      </c>
      <c r="F63" s="1" t="s">
        <v>250</v>
      </c>
      <c r="G63" s="1" t="s">
        <v>310</v>
      </c>
      <c r="H63" s="2">
        <v>46246.268750000003</v>
      </c>
      <c r="I63" s="1">
        <v>2</v>
      </c>
      <c r="J63" s="1">
        <v>2</v>
      </c>
      <c r="K63" s="12">
        <f>Velocity!$B$29</f>
        <v>46246</v>
      </c>
      <c r="L63" s="12">
        <f>Velocity!$C$29</f>
        <v>46259.999305555553</v>
      </c>
      <c r="M63" t="str">
        <f t="shared" si="2"/>
        <v>True</v>
      </c>
      <c r="N63" t="str">
        <f>IF(M63="False",I63,"")</f>
        <v/>
      </c>
      <c r="O63">
        <f t="shared" si="3"/>
        <v>2</v>
      </c>
      <c r="P63" t="str">
        <f t="shared" si="4"/>
        <v/>
      </c>
    </row>
    <row r="64" spans="1:16">
      <c r="A64" s="1">
        <v>1022744</v>
      </c>
      <c r="B64" s="1" t="s">
        <v>170</v>
      </c>
      <c r="C64" s="1" t="s">
        <v>290</v>
      </c>
      <c r="D64" s="1" t="s">
        <v>176</v>
      </c>
      <c r="E64" s="1" t="s">
        <v>176</v>
      </c>
      <c r="F64" s="1" t="s">
        <v>5</v>
      </c>
      <c r="G64" s="1" t="s">
        <v>241</v>
      </c>
      <c r="H64" s="2">
        <v>46245.456250000003</v>
      </c>
      <c r="I64" s="1">
        <v>3</v>
      </c>
      <c r="J64" s="1"/>
      <c r="K64" s="12">
        <f>Velocity!$B$29</f>
        <v>46246</v>
      </c>
      <c r="L64" s="12">
        <f>Velocity!$C$29</f>
        <v>46259.999305555553</v>
      </c>
      <c r="M64" t="str">
        <f t="shared" si="2"/>
        <v>False</v>
      </c>
      <c r="N64">
        <f>IF(M64="False",I64,"")</f>
        <v>3</v>
      </c>
      <c r="O64" t="str">
        <f t="shared" si="3"/>
        <v/>
      </c>
      <c r="P64">
        <f t="shared" si="4"/>
        <v>3</v>
      </c>
    </row>
    <row r="65" spans="1:16">
      <c r="A65" s="1">
        <v>1022796</v>
      </c>
      <c r="B65" s="1" t="s">
        <v>170</v>
      </c>
      <c r="C65" s="1" t="s">
        <v>246</v>
      </c>
      <c r="D65" s="1" t="s">
        <v>178</v>
      </c>
      <c r="E65" s="1" t="s">
        <v>178</v>
      </c>
      <c r="F65" s="1" t="s">
        <v>5</v>
      </c>
      <c r="G65" s="1" t="s">
        <v>267</v>
      </c>
      <c r="H65" s="2">
        <v>46245.493750000001</v>
      </c>
      <c r="I65" s="1">
        <v>5</v>
      </c>
      <c r="J65" s="1"/>
      <c r="K65" s="12">
        <f>Velocity!$B$29</f>
        <v>46246</v>
      </c>
      <c r="L65" s="12">
        <f>Velocity!$C$29</f>
        <v>46259.999305555553</v>
      </c>
      <c r="M65" t="str">
        <f t="shared" si="2"/>
        <v>False</v>
      </c>
      <c r="N65">
        <f>IF(M65="False",I65,"")</f>
        <v>5</v>
      </c>
      <c r="O65" t="str">
        <f t="shared" si="3"/>
        <v/>
      </c>
      <c r="P65">
        <f t="shared" si="4"/>
        <v>5</v>
      </c>
    </row>
    <row r="66" spans="1:16">
      <c r="A66" s="1">
        <v>931776</v>
      </c>
      <c r="B66" s="1" t="s">
        <v>170</v>
      </c>
      <c r="C66" s="1" t="s">
        <v>255</v>
      </c>
      <c r="D66" s="1" t="s">
        <v>178</v>
      </c>
      <c r="E66" s="1" t="s">
        <v>178</v>
      </c>
      <c r="F66" s="1" t="s">
        <v>5</v>
      </c>
      <c r="G66" s="1" t="s">
        <v>225</v>
      </c>
      <c r="H66" s="2">
        <v>46127.5</v>
      </c>
      <c r="I66" s="1">
        <v>5</v>
      </c>
      <c r="J66" s="1"/>
      <c r="K66" s="12">
        <f>Velocity!$B$29</f>
        <v>46246</v>
      </c>
      <c r="L66" s="12">
        <f>Velocity!$C$29</f>
        <v>46259.999305555553</v>
      </c>
      <c r="M66" t="str">
        <f t="shared" si="2"/>
        <v>False</v>
      </c>
      <c r="N66">
        <f>IF(M66="False",I66,"")</f>
        <v>5</v>
      </c>
      <c r="O66" t="str">
        <f t="shared" si="3"/>
        <v/>
      </c>
      <c r="P66">
        <f t="shared" si="4"/>
        <v>5</v>
      </c>
    </row>
    <row r="67" spans="1:16">
      <c r="A67" s="1">
        <v>1027252</v>
      </c>
      <c r="B67" s="1" t="s">
        <v>170</v>
      </c>
      <c r="C67" s="1" t="s">
        <v>311</v>
      </c>
      <c r="D67" s="1" t="s">
        <v>178</v>
      </c>
      <c r="E67" s="1" t="s">
        <v>178</v>
      </c>
      <c r="F67" s="1" t="s">
        <v>5</v>
      </c>
      <c r="G67" s="1" t="s">
        <v>267</v>
      </c>
      <c r="H67" s="2">
        <v>46252.055555555555</v>
      </c>
      <c r="I67" s="1">
        <v>2</v>
      </c>
      <c r="J67" s="1"/>
      <c r="K67" s="12">
        <f>Velocity!$B$29</f>
        <v>46246</v>
      </c>
      <c r="L67" s="12">
        <f>Velocity!$C$29</f>
        <v>46259.999305555553</v>
      </c>
      <c r="M67" t="str">
        <f t="shared" si="2"/>
        <v>True</v>
      </c>
      <c r="N67" t="str">
        <f>IF(M67="False",I67,"")</f>
        <v/>
      </c>
      <c r="O67">
        <f t="shared" si="3"/>
        <v>2</v>
      </c>
      <c r="P67">
        <f t="shared" si="4"/>
        <v>2</v>
      </c>
    </row>
    <row r="68" spans="1:16">
      <c r="A68" s="1">
        <v>1031717</v>
      </c>
      <c r="B68" s="1" t="s">
        <v>170</v>
      </c>
      <c r="C68" s="1" t="s">
        <v>312</v>
      </c>
      <c r="D68" s="1" t="s">
        <v>275</v>
      </c>
      <c r="E68" s="1" t="s">
        <v>275</v>
      </c>
      <c r="F68" s="8" t="s">
        <v>5</v>
      </c>
      <c r="G68" s="1" t="s">
        <v>241</v>
      </c>
      <c r="H68" s="2">
        <v>46259.352777777778</v>
      </c>
      <c r="I68" s="1">
        <v>3</v>
      </c>
      <c r="J68" s="1"/>
      <c r="K68" s="12">
        <f>Velocity!$B$29</f>
        <v>46246</v>
      </c>
      <c r="L68" s="12">
        <f>Velocity!$C$29</f>
        <v>46259.999305555553</v>
      </c>
      <c r="M68" t="str">
        <f t="shared" si="2"/>
        <v>True</v>
      </c>
      <c r="N68" t="str">
        <f>IF(M68="False",I68,"")</f>
        <v/>
      </c>
      <c r="O68">
        <f t="shared" si="3"/>
        <v>3</v>
      </c>
      <c r="P68">
        <f t="shared" si="4"/>
        <v>3</v>
      </c>
    </row>
    <row r="69" spans="1:16">
      <c r="A69" s="1">
        <v>946206</v>
      </c>
      <c r="B69" s="1" t="s">
        <v>170</v>
      </c>
      <c r="C69" s="1" t="s">
        <v>257</v>
      </c>
      <c r="D69" s="1" t="s">
        <v>275</v>
      </c>
      <c r="E69" s="1" t="s">
        <v>275</v>
      </c>
      <c r="F69" s="1" t="s">
        <v>5</v>
      </c>
      <c r="G69" s="1" t="s">
        <v>258</v>
      </c>
      <c r="H69" s="2">
        <v>46147.384722222225</v>
      </c>
      <c r="I69" s="1">
        <v>5</v>
      </c>
      <c r="J69" s="1"/>
      <c r="K69" s="12">
        <f>Velocity!$B$29</f>
        <v>46246</v>
      </c>
      <c r="L69" s="12">
        <f>Velocity!$C$29</f>
        <v>46259.999305555553</v>
      </c>
      <c r="M69" t="str">
        <f t="shared" si="2"/>
        <v>False</v>
      </c>
      <c r="N69">
        <f>IF(M69="False",I69,"")</f>
        <v>5</v>
      </c>
      <c r="O69" t="str">
        <f t="shared" si="3"/>
        <v/>
      </c>
      <c r="P69">
        <f t="shared" si="4"/>
        <v>5</v>
      </c>
    </row>
    <row r="70" spans="1:16">
      <c r="A70" s="1">
        <v>1022839</v>
      </c>
      <c r="B70" s="1" t="s">
        <v>170</v>
      </c>
      <c r="C70" s="1" t="s">
        <v>291</v>
      </c>
      <c r="D70" s="1" t="s">
        <v>213</v>
      </c>
      <c r="E70" s="1" t="s">
        <v>213</v>
      </c>
      <c r="F70" s="1" t="s">
        <v>250</v>
      </c>
      <c r="G70" s="1" t="s">
        <v>292</v>
      </c>
      <c r="H70" s="2">
        <v>46245.505555555559</v>
      </c>
      <c r="I70" s="1">
        <v>5</v>
      </c>
      <c r="J70" s="1"/>
      <c r="K70" s="12">
        <f>Velocity!$B$29</f>
        <v>46246</v>
      </c>
      <c r="L70" s="12">
        <f>Velocity!$C$29</f>
        <v>46259.999305555553</v>
      </c>
      <c r="M70" t="str">
        <f t="shared" si="2"/>
        <v>False</v>
      </c>
      <c r="N70">
        <f>IF(M70="False",I70,"")</f>
        <v>5</v>
      </c>
      <c r="O70" t="str">
        <f t="shared" si="3"/>
        <v/>
      </c>
      <c r="P70">
        <f t="shared" si="4"/>
        <v>5</v>
      </c>
    </row>
    <row r="71" spans="1:16">
      <c r="A71" s="1">
        <v>1014332</v>
      </c>
      <c r="B71" s="1" t="s">
        <v>170</v>
      </c>
      <c r="C71" s="1" t="s">
        <v>278</v>
      </c>
      <c r="D71" s="1" t="s">
        <v>213</v>
      </c>
      <c r="E71" s="1" t="s">
        <v>213</v>
      </c>
      <c r="F71" s="1" t="s">
        <v>5</v>
      </c>
      <c r="G71" s="1" t="s">
        <v>277</v>
      </c>
      <c r="H71" s="2">
        <v>46232.494444444441</v>
      </c>
      <c r="I71" s="1">
        <v>5</v>
      </c>
      <c r="J71" s="1"/>
      <c r="K71" s="12">
        <f>Velocity!$B$29</f>
        <v>46246</v>
      </c>
      <c r="L71" s="12">
        <f>Velocity!$C$29</f>
        <v>46259.999305555553</v>
      </c>
      <c r="M71" t="str">
        <f t="shared" si="2"/>
        <v>False</v>
      </c>
      <c r="N71">
        <f>IF(M71="False",I71,"")</f>
        <v>5</v>
      </c>
      <c r="O71" t="str">
        <f t="shared" si="3"/>
        <v/>
      </c>
      <c r="P71">
        <f t="shared" si="4"/>
        <v>5</v>
      </c>
    </row>
    <row r="72" spans="1:16">
      <c r="A72" s="1">
        <v>1029039</v>
      </c>
      <c r="B72" s="1" t="s">
        <v>170</v>
      </c>
      <c r="C72" s="1" t="s">
        <v>313</v>
      </c>
      <c r="D72" s="1" t="s">
        <v>196</v>
      </c>
      <c r="E72" s="1" t="s">
        <v>196</v>
      </c>
      <c r="F72" s="1" t="s">
        <v>5</v>
      </c>
      <c r="G72" s="1" t="s">
        <v>267</v>
      </c>
      <c r="H72" s="2">
        <v>46253.679861111108</v>
      </c>
      <c r="I72" s="1">
        <v>3</v>
      </c>
      <c r="J72" s="1"/>
      <c r="K72" s="12">
        <f>Velocity!$B$29</f>
        <v>46246</v>
      </c>
      <c r="L72" s="12">
        <f>Velocity!$C$29</f>
        <v>46259.999305555553</v>
      </c>
      <c r="M72" t="str">
        <f t="shared" si="2"/>
        <v>True</v>
      </c>
      <c r="N72" t="str">
        <f>IF(M72="False",I72,"")</f>
        <v/>
      </c>
      <c r="O72">
        <f t="shared" si="3"/>
        <v>3</v>
      </c>
      <c r="P72">
        <f t="shared" si="4"/>
        <v>3</v>
      </c>
    </row>
    <row r="73" spans="1:16">
      <c r="A73" s="1">
        <v>1029053</v>
      </c>
      <c r="B73" s="1" t="s">
        <v>170</v>
      </c>
      <c r="C73" s="1" t="s">
        <v>314</v>
      </c>
      <c r="D73" s="1" t="s">
        <v>196</v>
      </c>
      <c r="E73" s="1" t="s">
        <v>196</v>
      </c>
      <c r="F73" s="1" t="s">
        <v>5</v>
      </c>
      <c r="G73" s="1" t="s">
        <v>267</v>
      </c>
      <c r="H73" s="2">
        <v>46253.686111111114</v>
      </c>
      <c r="I73" s="1">
        <v>3</v>
      </c>
      <c r="J73" s="1"/>
      <c r="K73" s="12">
        <f>Velocity!$B$29</f>
        <v>46246</v>
      </c>
      <c r="L73" s="12">
        <f>Velocity!$C$29</f>
        <v>46259.999305555553</v>
      </c>
      <c r="M73" t="str">
        <f t="shared" si="2"/>
        <v>True</v>
      </c>
      <c r="N73" t="str">
        <f>IF(M73="False",I73,"")</f>
        <v/>
      </c>
      <c r="O73">
        <f t="shared" si="3"/>
        <v>3</v>
      </c>
      <c r="P73">
        <f t="shared" si="4"/>
        <v>3</v>
      </c>
    </row>
    <row r="74" spans="1:16">
      <c r="A74" s="1">
        <v>1029058</v>
      </c>
      <c r="B74" s="1" t="s">
        <v>170</v>
      </c>
      <c r="C74" s="1" t="s">
        <v>315</v>
      </c>
      <c r="D74" s="1" t="s">
        <v>196</v>
      </c>
      <c r="E74" s="1" t="s">
        <v>196</v>
      </c>
      <c r="F74" s="1" t="s">
        <v>5</v>
      </c>
      <c r="G74" s="1" t="s">
        <v>267</v>
      </c>
      <c r="H74" s="2">
        <v>46253.692361111112</v>
      </c>
      <c r="I74" s="1">
        <v>3</v>
      </c>
      <c r="J74" s="1"/>
      <c r="K74" s="12">
        <f>Velocity!$B$29</f>
        <v>46246</v>
      </c>
      <c r="L74" s="12">
        <f>Velocity!$C$29</f>
        <v>46259.999305555553</v>
      </c>
      <c r="M74" t="str">
        <f t="shared" si="2"/>
        <v>True</v>
      </c>
      <c r="N74" t="str">
        <f>IF(M74="False",I74,"")</f>
        <v/>
      </c>
      <c r="O74">
        <f t="shared" si="3"/>
        <v>3</v>
      </c>
      <c r="P74">
        <f t="shared" si="4"/>
        <v>3</v>
      </c>
    </row>
    <row r="75" spans="1:16">
      <c r="A75" s="1">
        <v>1029064</v>
      </c>
      <c r="B75" s="1" t="s">
        <v>170</v>
      </c>
      <c r="C75" s="1" t="s">
        <v>316</v>
      </c>
      <c r="D75" s="1" t="s">
        <v>196</v>
      </c>
      <c r="E75" s="1" t="s">
        <v>196</v>
      </c>
      <c r="F75" s="1" t="s">
        <v>5</v>
      </c>
      <c r="G75" s="1" t="s">
        <v>267</v>
      </c>
      <c r="H75" s="2">
        <v>46253.703472222223</v>
      </c>
      <c r="I75" s="1">
        <v>3</v>
      </c>
      <c r="J75" s="1"/>
      <c r="K75" s="12">
        <f>Velocity!$B$29</f>
        <v>46246</v>
      </c>
      <c r="L75" s="12">
        <f>Velocity!$C$29</f>
        <v>46259.999305555553</v>
      </c>
      <c r="M75" t="str">
        <f t="shared" si="2"/>
        <v>True</v>
      </c>
      <c r="N75" t="str">
        <f>IF(M75="False",I75,"")</f>
        <v/>
      </c>
      <c r="O75">
        <f t="shared" si="3"/>
        <v>3</v>
      </c>
      <c r="P75">
        <f t="shared" si="4"/>
        <v>3</v>
      </c>
    </row>
    <row r="76" spans="1:16" s="10" customFormat="1">
      <c r="A76" s="8">
        <v>1001701</v>
      </c>
      <c r="B76" s="8" t="s">
        <v>170</v>
      </c>
      <c r="C76" s="8" t="s">
        <v>270</v>
      </c>
      <c r="E76" s="8"/>
      <c r="F76" s="8" t="s">
        <v>5</v>
      </c>
      <c r="G76" s="8" t="s">
        <v>220</v>
      </c>
      <c r="H76" s="9">
        <v>46217.738194444442</v>
      </c>
      <c r="I76" s="8"/>
      <c r="J76" s="8"/>
      <c r="K76" s="13">
        <f>Velocity!$B$29</f>
        <v>46246</v>
      </c>
      <c r="L76" s="13">
        <f>Velocity!$C$29</f>
        <v>46259.999305555553</v>
      </c>
      <c r="M76" s="10" t="str">
        <f t="shared" si="2"/>
        <v>False</v>
      </c>
      <c r="N76">
        <v>13</v>
      </c>
      <c r="O76" s="10" t="str">
        <f t="shared" si="3"/>
        <v/>
      </c>
      <c r="P76">
        <f t="shared" si="4"/>
        <v>0</v>
      </c>
    </row>
    <row r="77" spans="1:16">
      <c r="I77">
        <f>SUM(I34:I76)</f>
        <v>162</v>
      </c>
      <c r="J77" s="3">
        <f>SUM(J34:J76)</f>
        <v>18</v>
      </c>
      <c r="O77">
        <f>SUM(O34:O76)</f>
        <v>44</v>
      </c>
      <c r="P77">
        <f>SUM(P34:P76)</f>
        <v>135</v>
      </c>
    </row>
    <row r="78" spans="1:16">
      <c r="J78">
        <f>I77-J77</f>
        <v>144</v>
      </c>
    </row>
  </sheetData>
  <autoFilter ref="A33:O78" xr:uid="{6B262B56-54EA-44C4-80F4-685D7A97427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2B56-54EA-44C4-80F4-685D7A974272}">
  <dimension ref="A1:P45"/>
  <sheetViews>
    <sheetView workbookViewId="0">
      <pane ySplit="1" topLeftCell="C11" activePane="bottomLeft" state="frozen"/>
      <selection pane="bottomLeft" activeCell="K11" sqref="K11"/>
    </sheetView>
  </sheetViews>
  <sheetFormatPr defaultRowHeight="15"/>
  <cols>
    <col min="3" max="3" width="68.7109375" customWidth="1"/>
    <col min="4" max="5" width="14" customWidth="1"/>
    <col min="6" max="6" width="20.28515625" customWidth="1"/>
    <col min="8" max="8" width="17" bestFit="1" customWidth="1"/>
    <col min="11" max="11" width="14.85546875" bestFit="1" customWidth="1"/>
    <col min="12" max="12" width="16" bestFit="1" customWidth="1"/>
    <col min="13" max="14" width="10.5703125" customWidth="1"/>
  </cols>
  <sheetData>
    <row r="1" spans="1:16" s="95" customFormat="1" ht="60.75">
      <c r="A1" s="4" t="s">
        <v>63</v>
      </c>
      <c r="B1" s="4" t="s">
        <v>158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165</v>
      </c>
      <c r="J1" s="4" t="s">
        <v>166</v>
      </c>
      <c r="K1" s="5" t="s">
        <v>1</v>
      </c>
      <c r="L1" s="5" t="s">
        <v>2</v>
      </c>
      <c r="M1" s="5" t="s">
        <v>167</v>
      </c>
      <c r="N1" s="5" t="s">
        <v>168</v>
      </c>
      <c r="O1" s="5" t="s">
        <v>169</v>
      </c>
      <c r="P1" s="94" t="s">
        <v>5</v>
      </c>
    </row>
    <row r="2" spans="1:16">
      <c r="A2" s="1">
        <v>989844</v>
      </c>
      <c r="B2" s="1" t="s">
        <v>170</v>
      </c>
      <c r="C2" s="1" t="s">
        <v>264</v>
      </c>
      <c r="D2" s="1" t="s">
        <v>180</v>
      </c>
      <c r="E2" s="1" t="s">
        <v>180</v>
      </c>
      <c r="F2" s="1" t="s">
        <v>265</v>
      </c>
      <c r="G2" s="1" t="s">
        <v>295</v>
      </c>
      <c r="H2" s="2">
        <v>46205.356249999997</v>
      </c>
      <c r="I2" s="1">
        <v>5</v>
      </c>
      <c r="J2" s="1">
        <v>5</v>
      </c>
      <c r="K2" s="12">
        <f>Velocity!$B$29</f>
        <v>46246</v>
      </c>
      <c r="L2" s="12">
        <f>Velocity!$C$29</f>
        <v>46259.999305555553</v>
      </c>
      <c r="M2" t="str">
        <f>IF(K2&lt;H2,"True","False")</f>
        <v>False</v>
      </c>
      <c r="N2">
        <f>IF(M2="False",I2,"")</f>
        <v>5</v>
      </c>
      <c r="O2" t="str">
        <f>IF(M2="True",I2,"")</f>
        <v/>
      </c>
      <c r="P2" t="str">
        <f>IF(J2&gt;0,"",I2)</f>
        <v/>
      </c>
    </row>
    <row r="3" spans="1:16">
      <c r="A3" s="1">
        <v>1011559</v>
      </c>
      <c r="B3" s="1" t="s">
        <v>170</v>
      </c>
      <c r="C3" s="1" t="s">
        <v>276</v>
      </c>
      <c r="D3" s="1" t="s">
        <v>180</v>
      </c>
      <c r="E3" s="1" t="s">
        <v>180</v>
      </c>
      <c r="F3" s="1" t="s">
        <v>5</v>
      </c>
      <c r="G3" s="1" t="s">
        <v>277</v>
      </c>
      <c r="H3" s="2">
        <v>46230.636805555558</v>
      </c>
      <c r="I3" s="1">
        <v>8</v>
      </c>
      <c r="J3" s="1"/>
      <c r="K3" s="12">
        <f>Velocity!$B$29</f>
        <v>46246</v>
      </c>
      <c r="L3" s="12">
        <f>Velocity!$C$29</f>
        <v>46259.999305555553</v>
      </c>
      <c r="M3" t="str">
        <f>IF(K3&lt;H3,"True","False")</f>
        <v>False</v>
      </c>
      <c r="N3">
        <f>IF(M3="False",I3,"")</f>
        <v>8</v>
      </c>
      <c r="O3" t="str">
        <f>IF(M3="True",I3,"")</f>
        <v/>
      </c>
      <c r="P3">
        <f t="shared" ref="P3:P44" si="0">IF(J3&gt;0,"",I3)</f>
        <v>8</v>
      </c>
    </row>
    <row r="4" spans="1:16">
      <c r="A4" s="1">
        <v>1018654</v>
      </c>
      <c r="B4" s="1" t="s">
        <v>170</v>
      </c>
      <c r="C4" s="1" t="s">
        <v>279</v>
      </c>
      <c r="D4" s="1" t="s">
        <v>180</v>
      </c>
      <c r="E4" s="1" t="s">
        <v>180</v>
      </c>
      <c r="F4" s="1" t="s">
        <v>250</v>
      </c>
      <c r="G4" s="1" t="s">
        <v>241</v>
      </c>
      <c r="H4" s="2">
        <v>46238.585416666669</v>
      </c>
      <c r="I4" s="1">
        <v>3</v>
      </c>
      <c r="J4" s="1"/>
      <c r="K4" s="12">
        <f>Velocity!$B$29</f>
        <v>46246</v>
      </c>
      <c r="L4" s="12">
        <f>Velocity!$C$29</f>
        <v>46259.999305555553</v>
      </c>
      <c r="M4" t="str">
        <f>IF(K4&lt;H4,"True","False")</f>
        <v>False</v>
      </c>
      <c r="N4">
        <f>IF(M4="False",I4,"")</f>
        <v>3</v>
      </c>
      <c r="O4" t="str">
        <f>IF(M4="True",I4,"")</f>
        <v/>
      </c>
      <c r="P4">
        <f t="shared" si="0"/>
        <v>3</v>
      </c>
    </row>
    <row r="5" spans="1:16">
      <c r="A5" s="1">
        <v>1026458</v>
      </c>
      <c r="B5" s="1" t="s">
        <v>170</v>
      </c>
      <c r="C5" s="1" t="s">
        <v>296</v>
      </c>
      <c r="D5" s="1" t="s">
        <v>180</v>
      </c>
      <c r="E5" s="1" t="s">
        <v>180</v>
      </c>
      <c r="F5" s="1" t="s">
        <v>5</v>
      </c>
      <c r="G5" s="1" t="s">
        <v>241</v>
      </c>
      <c r="H5" s="2">
        <v>46248.543749999997</v>
      </c>
      <c r="I5" s="1">
        <v>3</v>
      </c>
      <c r="J5" s="1"/>
      <c r="K5" s="12">
        <f>Velocity!$B$29</f>
        <v>46246</v>
      </c>
      <c r="L5" s="12">
        <f>Velocity!$C$29</f>
        <v>46259.999305555553</v>
      </c>
      <c r="M5" t="str">
        <f>IF(K5&lt;H5,"True","False")</f>
        <v>True</v>
      </c>
      <c r="N5" t="str">
        <f>IF(M5="False",I5,"")</f>
        <v/>
      </c>
      <c r="O5">
        <f>IF(M5="True",I5,"")</f>
        <v>3</v>
      </c>
      <c r="P5">
        <f t="shared" si="0"/>
        <v>3</v>
      </c>
    </row>
    <row r="6" spans="1:16">
      <c r="A6" s="1">
        <v>1026491</v>
      </c>
      <c r="B6" s="1" t="s">
        <v>170</v>
      </c>
      <c r="C6" s="1" t="s">
        <v>297</v>
      </c>
      <c r="D6" s="1" t="s">
        <v>180</v>
      </c>
      <c r="E6" s="1" t="s">
        <v>180</v>
      </c>
      <c r="F6" s="1" t="s">
        <v>5</v>
      </c>
      <c r="G6" s="1" t="s">
        <v>241</v>
      </c>
      <c r="H6" s="2">
        <v>46248.573611111111</v>
      </c>
      <c r="I6" s="1">
        <v>5</v>
      </c>
      <c r="J6" s="1"/>
      <c r="K6" s="12">
        <f>Velocity!$B$29</f>
        <v>46246</v>
      </c>
      <c r="L6" s="12">
        <f>Velocity!$C$29</f>
        <v>46259.999305555553</v>
      </c>
      <c r="M6" t="str">
        <f>IF(K6&lt;H6,"True","False")</f>
        <v>True</v>
      </c>
      <c r="N6" t="str">
        <f>IF(M6="False",I6,"")</f>
        <v/>
      </c>
      <c r="O6">
        <f>IF(M6="True",I6,"")</f>
        <v>5</v>
      </c>
      <c r="P6">
        <f t="shared" si="0"/>
        <v>5</v>
      </c>
    </row>
    <row r="7" spans="1:16">
      <c r="A7" s="1">
        <v>1029130</v>
      </c>
      <c r="B7" s="1" t="s">
        <v>170</v>
      </c>
      <c r="C7" s="1" t="s">
        <v>298</v>
      </c>
      <c r="D7" s="1" t="s">
        <v>180</v>
      </c>
      <c r="E7" s="1" t="s">
        <v>180</v>
      </c>
      <c r="F7" s="1" t="s">
        <v>5</v>
      </c>
      <c r="G7" s="1" t="s">
        <v>299</v>
      </c>
      <c r="H7" s="2">
        <v>46254.256249999999</v>
      </c>
      <c r="I7" s="1">
        <v>3</v>
      </c>
      <c r="J7" s="1"/>
      <c r="K7" s="12">
        <f>Velocity!$B$29</f>
        <v>46246</v>
      </c>
      <c r="L7" s="12">
        <f>Velocity!$C$29</f>
        <v>46259.999305555553</v>
      </c>
      <c r="M7" t="str">
        <f>IF(K7&lt;H7,"True","False")</f>
        <v>True</v>
      </c>
      <c r="N7" t="str">
        <f>IF(M7="False",I7,"")</f>
        <v/>
      </c>
      <c r="O7">
        <f>IF(M7="True",I7,"")</f>
        <v>3</v>
      </c>
      <c r="P7">
        <f t="shared" si="0"/>
        <v>3</v>
      </c>
    </row>
    <row r="8" spans="1:16">
      <c r="A8" s="1">
        <v>1028259</v>
      </c>
      <c r="B8" s="1" t="s">
        <v>170</v>
      </c>
      <c r="C8" s="1" t="s">
        <v>300</v>
      </c>
      <c r="D8" s="1" t="s">
        <v>172</v>
      </c>
      <c r="E8" s="1" t="s">
        <v>172</v>
      </c>
      <c r="F8" s="1" t="s">
        <v>301</v>
      </c>
      <c r="G8" s="1"/>
      <c r="H8" s="2">
        <v>46253.25</v>
      </c>
      <c r="I8" s="1">
        <v>2</v>
      </c>
      <c r="J8" s="1"/>
      <c r="K8" s="12">
        <f>Velocity!$B$29</f>
        <v>46246</v>
      </c>
      <c r="L8" s="12">
        <f>Velocity!$C$29</f>
        <v>46259.999305555553</v>
      </c>
      <c r="M8" t="str">
        <f>IF(K8&lt;H8,"True","False")</f>
        <v>True</v>
      </c>
      <c r="N8" t="str">
        <f>IF(M8="False",I8,"")</f>
        <v/>
      </c>
      <c r="O8">
        <f>IF(M8="True",I8,"")</f>
        <v>2</v>
      </c>
      <c r="P8">
        <f t="shared" si="0"/>
        <v>2</v>
      </c>
    </row>
    <row r="9" spans="1:16">
      <c r="A9" s="1">
        <v>1031391</v>
      </c>
      <c r="B9" s="1" t="s">
        <v>170</v>
      </c>
      <c r="C9" s="1" t="s">
        <v>302</v>
      </c>
      <c r="D9" s="1" t="s">
        <v>172</v>
      </c>
      <c r="E9" s="1" t="s">
        <v>172</v>
      </c>
      <c r="F9" s="1" t="s">
        <v>5</v>
      </c>
      <c r="G9" s="1" t="s">
        <v>241</v>
      </c>
      <c r="H9" s="2">
        <v>46258.648611111108</v>
      </c>
      <c r="I9" s="1">
        <v>5</v>
      </c>
      <c r="J9" s="1"/>
      <c r="K9" s="12">
        <f>Velocity!$B$29</f>
        <v>46246</v>
      </c>
      <c r="L9" s="12">
        <f>Velocity!$C$29</f>
        <v>46259.999305555553</v>
      </c>
      <c r="M9" t="str">
        <f>IF(K9&lt;H9,"True","False")</f>
        <v>True</v>
      </c>
      <c r="N9" t="str">
        <f>IF(M9="False",I9,"")</f>
        <v/>
      </c>
      <c r="O9">
        <f>IF(M9="True",I9,"")</f>
        <v>5</v>
      </c>
      <c r="P9">
        <f t="shared" si="0"/>
        <v>5</v>
      </c>
    </row>
    <row r="10" spans="1:16">
      <c r="A10" s="1">
        <v>1005763</v>
      </c>
      <c r="B10" s="1" t="s">
        <v>170</v>
      </c>
      <c r="C10" s="1" t="s">
        <v>273</v>
      </c>
      <c r="D10" s="1" t="s">
        <v>172</v>
      </c>
      <c r="E10" s="1" t="s">
        <v>172</v>
      </c>
      <c r="F10" s="1" t="s">
        <v>250</v>
      </c>
      <c r="G10" s="1" t="s">
        <v>233</v>
      </c>
      <c r="H10" s="2">
        <v>46220.393055555556</v>
      </c>
      <c r="I10" s="1">
        <v>5</v>
      </c>
      <c r="J10" s="1"/>
      <c r="K10" s="12">
        <f>Velocity!$B$29</f>
        <v>46246</v>
      </c>
      <c r="L10" s="12">
        <f>Velocity!$C$29</f>
        <v>46259.999305555553</v>
      </c>
      <c r="M10" t="str">
        <f>IF(K10&lt;H10,"True","False")</f>
        <v>False</v>
      </c>
      <c r="N10">
        <f>IF(M10="False",I10,"")</f>
        <v>5</v>
      </c>
      <c r="O10" t="str">
        <f>IF(M10="True",I10,"")</f>
        <v/>
      </c>
      <c r="P10">
        <f t="shared" si="0"/>
        <v>5</v>
      </c>
    </row>
    <row r="11" spans="1:16">
      <c r="A11" s="1">
        <v>984586</v>
      </c>
      <c r="B11" s="1" t="s">
        <v>170</v>
      </c>
      <c r="C11" s="1" t="s">
        <v>262</v>
      </c>
      <c r="D11" s="1" t="s">
        <v>172</v>
      </c>
      <c r="E11" s="1" t="s">
        <v>172</v>
      </c>
      <c r="F11" s="1" t="s">
        <v>5</v>
      </c>
      <c r="G11" s="1" t="s">
        <v>263</v>
      </c>
      <c r="H11" s="2">
        <v>46199.463194444441</v>
      </c>
      <c r="I11" s="1">
        <v>5</v>
      </c>
      <c r="J11" s="1"/>
      <c r="K11" s="12">
        <f>Velocity!$B$29</f>
        <v>46246</v>
      </c>
      <c r="L11" s="12">
        <f>Velocity!$C$29</f>
        <v>46259.999305555553</v>
      </c>
      <c r="M11" t="str">
        <f>IF(K11&lt;H11,"True","False")</f>
        <v>False</v>
      </c>
      <c r="N11">
        <f>IF(M11="False",I11,"")</f>
        <v>5</v>
      </c>
      <c r="O11" t="str">
        <f>IF(M11="True",I11,"")</f>
        <v/>
      </c>
      <c r="P11">
        <f t="shared" si="0"/>
        <v>5</v>
      </c>
    </row>
    <row r="12" spans="1:16">
      <c r="A12" s="1">
        <v>931743</v>
      </c>
      <c r="B12" s="1" t="s">
        <v>170</v>
      </c>
      <c r="C12" s="1" t="s">
        <v>252</v>
      </c>
      <c r="D12" s="1" t="s">
        <v>172</v>
      </c>
      <c r="E12" s="1" t="s">
        <v>172</v>
      </c>
      <c r="F12" s="1" t="s">
        <v>5</v>
      </c>
      <c r="G12" s="1" t="s">
        <v>254</v>
      </c>
      <c r="H12" s="2">
        <v>46127.486111111109</v>
      </c>
      <c r="I12" s="1">
        <v>5</v>
      </c>
      <c r="J12" s="1"/>
      <c r="K12" s="12">
        <f>Velocity!$B$29</f>
        <v>46246</v>
      </c>
      <c r="L12" s="12">
        <f>Velocity!$C$29</f>
        <v>46259.999305555553</v>
      </c>
      <c r="M12" t="str">
        <f>IF(K12&lt;H12,"True","False")</f>
        <v>False</v>
      </c>
      <c r="N12">
        <f>IF(M12="False",I12,"")</f>
        <v>5</v>
      </c>
      <c r="O12" t="str">
        <f>IF(M12="True",I12,"")</f>
        <v/>
      </c>
      <c r="P12">
        <f t="shared" si="0"/>
        <v>5</v>
      </c>
    </row>
    <row r="13" spans="1:16">
      <c r="A13" s="1">
        <v>838699</v>
      </c>
      <c r="B13" s="1" t="s">
        <v>170</v>
      </c>
      <c r="C13" s="1" t="s">
        <v>249</v>
      </c>
      <c r="D13" s="1" t="s">
        <v>199</v>
      </c>
      <c r="E13" s="1" t="s">
        <v>199</v>
      </c>
      <c r="F13" s="1" t="s">
        <v>250</v>
      </c>
      <c r="G13" s="1" t="s">
        <v>251</v>
      </c>
      <c r="H13" s="2">
        <v>46002.418749999997</v>
      </c>
      <c r="I13" s="1">
        <v>8</v>
      </c>
      <c r="J13" s="1"/>
      <c r="K13" s="12">
        <f>Velocity!$B$29</f>
        <v>46246</v>
      </c>
      <c r="L13" s="12">
        <f>Velocity!$C$29</f>
        <v>46259.999305555553</v>
      </c>
      <c r="M13" t="str">
        <f>IF(K13&lt;H13,"True","False")</f>
        <v>False</v>
      </c>
      <c r="N13">
        <f>IF(M13="False",I13,"")</f>
        <v>8</v>
      </c>
      <c r="O13" t="str">
        <f>IF(M13="True",I13,"")</f>
        <v/>
      </c>
      <c r="P13">
        <f t="shared" si="0"/>
        <v>8</v>
      </c>
    </row>
    <row r="14" spans="1:16">
      <c r="A14" s="1">
        <v>1004134</v>
      </c>
      <c r="B14" s="1" t="s">
        <v>170</v>
      </c>
      <c r="C14" s="1" t="s">
        <v>271</v>
      </c>
      <c r="D14" s="1" t="s">
        <v>199</v>
      </c>
      <c r="E14" s="1" t="s">
        <v>199</v>
      </c>
      <c r="F14" s="1" t="s">
        <v>250</v>
      </c>
      <c r="G14" s="1" t="s">
        <v>241</v>
      </c>
      <c r="H14" s="2">
        <v>46218.635416666664</v>
      </c>
      <c r="I14" s="1">
        <v>5</v>
      </c>
      <c r="J14" s="1"/>
      <c r="K14" s="12">
        <f>Velocity!$B$29</f>
        <v>46246</v>
      </c>
      <c r="L14" s="12">
        <f>Velocity!$C$29</f>
        <v>46259.999305555553</v>
      </c>
      <c r="M14" t="str">
        <f>IF(K14&lt;H14,"True","False")</f>
        <v>False</v>
      </c>
      <c r="N14">
        <f>IF(M14="False",I14,"")</f>
        <v>5</v>
      </c>
      <c r="O14" t="str">
        <f>IF(M14="True",I14,"")</f>
        <v/>
      </c>
      <c r="P14">
        <f t="shared" si="0"/>
        <v>5</v>
      </c>
    </row>
    <row r="15" spans="1:16">
      <c r="A15" s="1">
        <v>1019434</v>
      </c>
      <c r="B15" s="1" t="s">
        <v>170</v>
      </c>
      <c r="C15" s="1" t="s">
        <v>281</v>
      </c>
      <c r="D15" s="1" t="s">
        <v>282</v>
      </c>
      <c r="E15" s="1" t="s">
        <v>282</v>
      </c>
      <c r="F15" s="1" t="s">
        <v>5</v>
      </c>
      <c r="G15" s="1" t="s">
        <v>283</v>
      </c>
      <c r="H15" s="2">
        <v>46239.540277777778</v>
      </c>
      <c r="I15" s="1">
        <v>0</v>
      </c>
      <c r="J15" s="1"/>
      <c r="K15" s="12">
        <f>Velocity!$B$29</f>
        <v>46246</v>
      </c>
      <c r="L15" s="12">
        <f>Velocity!$C$29</f>
        <v>46259.999305555553</v>
      </c>
      <c r="M15" t="str">
        <f>IF(K15&lt;H15,"True","False")</f>
        <v>False</v>
      </c>
      <c r="N15">
        <f>IF(M15="False",I15,"")</f>
        <v>0</v>
      </c>
      <c r="O15" t="str">
        <f>IF(M15="True",I15,"")</f>
        <v/>
      </c>
      <c r="P15">
        <f t="shared" si="0"/>
        <v>0</v>
      </c>
    </row>
    <row r="16" spans="1:16">
      <c r="A16" s="1">
        <v>1020721</v>
      </c>
      <c r="B16" s="1" t="s">
        <v>170</v>
      </c>
      <c r="C16" s="1" t="s">
        <v>286</v>
      </c>
      <c r="D16" s="1" t="s">
        <v>194</v>
      </c>
      <c r="E16" s="1" t="s">
        <v>194</v>
      </c>
      <c r="F16" s="1" t="s">
        <v>5</v>
      </c>
      <c r="G16" s="1" t="s">
        <v>287</v>
      </c>
      <c r="H16" s="2">
        <v>46240.70416666667</v>
      </c>
      <c r="I16" s="1">
        <v>2</v>
      </c>
      <c r="J16" s="1"/>
      <c r="K16" s="12">
        <f>Velocity!$B$29</f>
        <v>46246</v>
      </c>
      <c r="L16" s="12">
        <f>Velocity!$C$29</f>
        <v>46259.999305555553</v>
      </c>
      <c r="M16" t="str">
        <f>IF(K16&lt;H16,"True","False")</f>
        <v>False</v>
      </c>
      <c r="N16">
        <f>IF(M16="False",I16,"")</f>
        <v>2</v>
      </c>
      <c r="O16" t="str">
        <f>IF(M16="True",I16,"")</f>
        <v/>
      </c>
      <c r="P16">
        <f t="shared" si="0"/>
        <v>2</v>
      </c>
    </row>
    <row r="17" spans="1:16">
      <c r="A17" s="1">
        <v>1022127</v>
      </c>
      <c r="B17" s="1" t="s">
        <v>170</v>
      </c>
      <c r="C17" s="1" t="s">
        <v>288</v>
      </c>
      <c r="D17" s="1" t="s">
        <v>194</v>
      </c>
      <c r="E17" s="1" t="s">
        <v>194</v>
      </c>
      <c r="F17" s="1" t="s">
        <v>5</v>
      </c>
      <c r="G17" s="1" t="s">
        <v>289</v>
      </c>
      <c r="H17" s="2">
        <v>46244.612500000003</v>
      </c>
      <c r="I17" s="1">
        <v>3</v>
      </c>
      <c r="J17" s="1"/>
      <c r="K17" s="12">
        <f>Velocity!$B$29</f>
        <v>46246</v>
      </c>
      <c r="L17" s="12">
        <f>Velocity!$C$29</f>
        <v>46259.999305555553</v>
      </c>
      <c r="M17" t="str">
        <f>IF(K17&lt;H17,"True","False")</f>
        <v>False</v>
      </c>
      <c r="N17">
        <f>IF(M17="False",I17,"")</f>
        <v>3</v>
      </c>
      <c r="O17" t="str">
        <f>IF(M17="True",I17,"")</f>
        <v/>
      </c>
      <c r="P17">
        <f t="shared" si="0"/>
        <v>3</v>
      </c>
    </row>
    <row r="18" spans="1:16">
      <c r="A18" s="1">
        <v>1023610</v>
      </c>
      <c r="B18" s="1" t="s">
        <v>170</v>
      </c>
      <c r="C18" s="1" t="s">
        <v>293</v>
      </c>
      <c r="D18" s="1" t="s">
        <v>194</v>
      </c>
      <c r="E18" s="1" t="s">
        <v>194</v>
      </c>
      <c r="F18" s="1" t="s">
        <v>5</v>
      </c>
      <c r="G18" s="1" t="s">
        <v>267</v>
      </c>
      <c r="H18" s="2">
        <v>46245.660416666666</v>
      </c>
      <c r="I18" s="1">
        <v>2</v>
      </c>
      <c r="J18" s="1"/>
      <c r="K18" s="12">
        <f>Velocity!$B$29</f>
        <v>46246</v>
      </c>
      <c r="L18" s="12">
        <f>Velocity!$C$29</f>
        <v>46259.999305555553</v>
      </c>
      <c r="M18" t="str">
        <f>IF(K18&lt;H18,"True","False")</f>
        <v>False</v>
      </c>
      <c r="N18">
        <f>IF(M18="False",I18,"")</f>
        <v>2</v>
      </c>
      <c r="O18" t="str">
        <f>IF(M18="True",I18,"")</f>
        <v/>
      </c>
      <c r="P18">
        <f t="shared" si="0"/>
        <v>2</v>
      </c>
    </row>
    <row r="19" spans="1:16">
      <c r="A19" s="1">
        <v>1004762</v>
      </c>
      <c r="B19" s="1" t="s">
        <v>170</v>
      </c>
      <c r="C19" s="1" t="s">
        <v>272</v>
      </c>
      <c r="D19" s="1" t="s">
        <v>194</v>
      </c>
      <c r="E19" s="1" t="s">
        <v>194</v>
      </c>
      <c r="F19" s="1" t="s">
        <v>265</v>
      </c>
      <c r="G19" s="1" t="s">
        <v>303</v>
      </c>
      <c r="H19" s="2">
        <v>46219.418055555558</v>
      </c>
      <c r="I19" s="1">
        <v>5</v>
      </c>
      <c r="J19" s="1">
        <v>5</v>
      </c>
      <c r="K19" s="12">
        <f>Velocity!$B$29</f>
        <v>46246</v>
      </c>
      <c r="L19" s="12">
        <f>Velocity!$C$29</f>
        <v>46259.999305555553</v>
      </c>
      <c r="M19" t="str">
        <f>IF(K19&lt;H19,"True","False")</f>
        <v>False</v>
      </c>
      <c r="N19">
        <f>IF(M19="False",I19,"")</f>
        <v>5</v>
      </c>
      <c r="O19" t="str">
        <f>IF(M19="True",I19,"")</f>
        <v/>
      </c>
      <c r="P19" t="str">
        <f t="shared" si="0"/>
        <v/>
      </c>
    </row>
    <row r="20" spans="1:16">
      <c r="A20" s="1">
        <v>991935</v>
      </c>
      <c r="B20" s="1" t="s">
        <v>170</v>
      </c>
      <c r="C20" s="1" t="s">
        <v>266</v>
      </c>
      <c r="D20" s="1" t="s">
        <v>194</v>
      </c>
      <c r="E20" s="1" t="s">
        <v>194</v>
      </c>
      <c r="F20" s="1" t="s">
        <v>5</v>
      </c>
      <c r="G20" s="1" t="s">
        <v>267</v>
      </c>
      <c r="H20" s="2">
        <v>46210.440972222219</v>
      </c>
      <c r="I20" s="1">
        <v>8</v>
      </c>
      <c r="J20" s="1"/>
      <c r="K20" s="12">
        <f>Velocity!$B$29</f>
        <v>46246</v>
      </c>
      <c r="L20" s="12">
        <f>Velocity!$C$29</f>
        <v>46259.999305555553</v>
      </c>
      <c r="M20" t="str">
        <f>IF(K20&lt;H20,"True","False")</f>
        <v>False</v>
      </c>
      <c r="N20">
        <f>IF(M20="False",I20,"")</f>
        <v>8</v>
      </c>
      <c r="O20" t="str">
        <f>IF(M20="True",I20,"")</f>
        <v/>
      </c>
      <c r="P20">
        <f t="shared" si="0"/>
        <v>8</v>
      </c>
    </row>
    <row r="21" spans="1:16">
      <c r="A21" s="1">
        <v>1031839</v>
      </c>
      <c r="B21" s="1" t="s">
        <v>170</v>
      </c>
      <c r="C21" s="1" t="s">
        <v>304</v>
      </c>
      <c r="D21" s="1" t="s">
        <v>194</v>
      </c>
      <c r="E21" s="1" t="s">
        <v>194</v>
      </c>
      <c r="F21" s="1" t="s">
        <v>5</v>
      </c>
      <c r="G21" s="1" t="s">
        <v>267</v>
      </c>
      <c r="H21" s="2">
        <v>46259.400694444441</v>
      </c>
      <c r="I21" s="1">
        <v>1</v>
      </c>
      <c r="J21" s="1"/>
      <c r="K21" s="12">
        <f>Velocity!$B$29</f>
        <v>46246</v>
      </c>
      <c r="L21" s="12">
        <f>Velocity!$C$29</f>
        <v>46259.999305555553</v>
      </c>
      <c r="M21" t="str">
        <f>IF(K21&lt;H21,"True","False")</f>
        <v>True</v>
      </c>
      <c r="N21" t="str">
        <f>IF(M21="False",I21,"")</f>
        <v/>
      </c>
      <c r="O21">
        <f>IF(M21="True",I21,"")</f>
        <v>1</v>
      </c>
      <c r="P21">
        <f t="shared" si="0"/>
        <v>1</v>
      </c>
    </row>
    <row r="22" spans="1:16">
      <c r="A22" s="1">
        <v>1027171</v>
      </c>
      <c r="B22" s="1" t="s">
        <v>170</v>
      </c>
      <c r="C22" s="1" t="s">
        <v>305</v>
      </c>
      <c r="D22" s="1" t="s">
        <v>194</v>
      </c>
      <c r="E22" s="1" t="s">
        <v>194</v>
      </c>
      <c r="F22" s="1" t="s">
        <v>5</v>
      </c>
      <c r="G22" s="1" t="s">
        <v>267</v>
      </c>
      <c r="H22" s="2">
        <v>46251.65</v>
      </c>
      <c r="I22" s="1">
        <v>3</v>
      </c>
      <c r="J22" s="1"/>
      <c r="K22" s="12">
        <f>Velocity!$B$29</f>
        <v>46246</v>
      </c>
      <c r="L22" s="12">
        <f>Velocity!$C$29</f>
        <v>46259.999305555553</v>
      </c>
      <c r="M22" t="str">
        <f>IF(K22&lt;H22,"True","False")</f>
        <v>True</v>
      </c>
      <c r="N22" t="str">
        <f>IF(M22="False",I22,"")</f>
        <v/>
      </c>
      <c r="O22">
        <f>IF(M22="True",I22,"")</f>
        <v>3</v>
      </c>
      <c r="P22">
        <f t="shared" si="0"/>
        <v>3</v>
      </c>
    </row>
    <row r="23" spans="1:16">
      <c r="A23" s="1">
        <v>1028617</v>
      </c>
      <c r="B23" s="1" t="s">
        <v>209</v>
      </c>
      <c r="C23" s="1" t="s">
        <v>306</v>
      </c>
      <c r="D23" s="1" t="s">
        <v>194</v>
      </c>
      <c r="E23" s="1" t="s">
        <v>194</v>
      </c>
      <c r="F23" s="1" t="s">
        <v>5</v>
      </c>
      <c r="G23" s="1"/>
      <c r="H23" s="2">
        <v>46253.497916666667</v>
      </c>
      <c r="I23" s="1">
        <v>3</v>
      </c>
      <c r="J23" s="1"/>
      <c r="K23" s="12">
        <f>Velocity!$B$29</f>
        <v>46246</v>
      </c>
      <c r="L23" s="12">
        <f>Velocity!$C$29</f>
        <v>46259.999305555553</v>
      </c>
      <c r="M23" t="str">
        <f>IF(K23&lt;H23,"True","False")</f>
        <v>True</v>
      </c>
      <c r="N23" t="str">
        <f>IF(M23="False",I23,"")</f>
        <v/>
      </c>
      <c r="O23">
        <f>IF(M23="True",I23,"")</f>
        <v>3</v>
      </c>
      <c r="P23">
        <f t="shared" si="0"/>
        <v>3</v>
      </c>
    </row>
    <row r="24" spans="1:16">
      <c r="A24" s="1">
        <v>959000</v>
      </c>
      <c r="B24" s="1" t="s">
        <v>170</v>
      </c>
      <c r="C24" s="1" t="s">
        <v>259</v>
      </c>
      <c r="D24" s="1" t="s">
        <v>184</v>
      </c>
      <c r="E24" s="1" t="s">
        <v>184</v>
      </c>
      <c r="F24" s="1" t="s">
        <v>250</v>
      </c>
      <c r="G24" s="1" t="s">
        <v>307</v>
      </c>
      <c r="H24" s="2">
        <v>46164.384722222225</v>
      </c>
      <c r="I24" s="1">
        <v>5</v>
      </c>
      <c r="J24" s="1">
        <v>2</v>
      </c>
      <c r="K24" s="12">
        <f>Velocity!$B$29</f>
        <v>46246</v>
      </c>
      <c r="L24" s="12">
        <f>Velocity!$C$29</f>
        <v>46259.999305555553</v>
      </c>
      <c r="M24" t="str">
        <f>IF(K24&lt;H24,"True","False")</f>
        <v>False</v>
      </c>
      <c r="N24">
        <f>IF(M24="False",I24,"")</f>
        <v>5</v>
      </c>
      <c r="O24" t="str">
        <f>IF(M24="True",I24,"")</f>
        <v/>
      </c>
      <c r="P24" t="str">
        <f t="shared" si="0"/>
        <v/>
      </c>
    </row>
    <row r="25" spans="1:16">
      <c r="A25" s="1">
        <v>965962</v>
      </c>
      <c r="B25" s="1" t="s">
        <v>170</v>
      </c>
      <c r="C25" s="1" t="s">
        <v>261</v>
      </c>
      <c r="D25" s="1" t="s">
        <v>184</v>
      </c>
      <c r="E25" s="1" t="s">
        <v>184</v>
      </c>
      <c r="F25" s="1" t="s">
        <v>5</v>
      </c>
      <c r="G25" s="1" t="s">
        <v>236</v>
      </c>
      <c r="H25" s="2">
        <v>46175.679861111108</v>
      </c>
      <c r="I25" s="1">
        <v>5</v>
      </c>
      <c r="J25" s="1"/>
      <c r="K25" s="12">
        <f>Velocity!$B$29</f>
        <v>46246</v>
      </c>
      <c r="L25" s="12">
        <f>Velocity!$C$29</f>
        <v>46259.999305555553</v>
      </c>
      <c r="M25" t="str">
        <f>IF(K25&lt;H25,"True","False")</f>
        <v>False</v>
      </c>
      <c r="N25">
        <f>IF(M25="False",I25,"")</f>
        <v>5</v>
      </c>
      <c r="O25" t="str">
        <f>IF(M25="True",I25,"")</f>
        <v/>
      </c>
      <c r="P25">
        <f t="shared" si="0"/>
        <v>5</v>
      </c>
    </row>
    <row r="26" spans="1:16">
      <c r="A26" s="1">
        <v>1018843</v>
      </c>
      <c r="B26" s="1" t="s">
        <v>170</v>
      </c>
      <c r="C26" s="1" t="s">
        <v>280</v>
      </c>
      <c r="D26" s="1" t="s">
        <v>184</v>
      </c>
      <c r="E26" s="1" t="s">
        <v>184</v>
      </c>
      <c r="F26" s="1" t="s">
        <v>265</v>
      </c>
      <c r="G26" s="1" t="s">
        <v>303</v>
      </c>
      <c r="H26" s="2">
        <v>46238.739583333336</v>
      </c>
      <c r="I26" s="1">
        <v>2</v>
      </c>
      <c r="J26" s="1">
        <v>2</v>
      </c>
      <c r="K26" s="12">
        <f>Velocity!$B$29</f>
        <v>46246</v>
      </c>
      <c r="L26" s="12">
        <f>Velocity!$C$29</f>
        <v>46259.999305555553</v>
      </c>
      <c r="M26" t="str">
        <f>IF(K26&lt;H26,"True","False")</f>
        <v>False</v>
      </c>
      <c r="N26">
        <f>IF(M26="False",I26,"")</f>
        <v>2</v>
      </c>
      <c r="O26" t="str">
        <f>IF(M26="True",I26,"")</f>
        <v/>
      </c>
      <c r="P26" t="str">
        <f t="shared" si="0"/>
        <v/>
      </c>
    </row>
    <row r="27" spans="1:16">
      <c r="A27" s="1">
        <v>1006172</v>
      </c>
      <c r="B27" s="1" t="s">
        <v>170</v>
      </c>
      <c r="C27" s="1" t="s">
        <v>274</v>
      </c>
      <c r="D27" s="1" t="s">
        <v>238</v>
      </c>
      <c r="E27" s="1" t="s">
        <v>238</v>
      </c>
      <c r="F27" s="8" t="s">
        <v>5</v>
      </c>
      <c r="G27" s="1" t="s">
        <v>241</v>
      </c>
      <c r="H27" s="2">
        <v>46220.645833333336</v>
      </c>
      <c r="I27" s="1">
        <v>3</v>
      </c>
      <c r="J27" s="1"/>
      <c r="K27" s="12">
        <f>Velocity!$B$29</f>
        <v>46246</v>
      </c>
      <c r="L27" s="12">
        <f>Velocity!$C$29</f>
        <v>46259.999305555553</v>
      </c>
      <c r="M27" t="str">
        <f>IF(K27&lt;H27,"True","False")</f>
        <v>False</v>
      </c>
      <c r="N27">
        <f>IF(M27="False",I27,"")</f>
        <v>3</v>
      </c>
      <c r="O27" t="str">
        <f>IF(M27="True",I27,"")</f>
        <v/>
      </c>
      <c r="P27">
        <f t="shared" si="0"/>
        <v>3</v>
      </c>
    </row>
    <row r="28" spans="1:16">
      <c r="A28" s="1">
        <v>1020034</v>
      </c>
      <c r="B28" s="1" t="s">
        <v>170</v>
      </c>
      <c r="C28" s="1" t="s">
        <v>284</v>
      </c>
      <c r="D28" s="1" t="s">
        <v>238</v>
      </c>
      <c r="E28" s="1" t="s">
        <v>238</v>
      </c>
      <c r="F28" s="8" t="s">
        <v>5</v>
      </c>
      <c r="G28" s="1" t="s">
        <v>285</v>
      </c>
      <c r="H28" s="2">
        <v>46239.960416666669</v>
      </c>
      <c r="I28" s="1">
        <v>0</v>
      </c>
      <c r="J28" s="1"/>
      <c r="K28" s="12">
        <f>Velocity!$B$29</f>
        <v>46246</v>
      </c>
      <c r="L28" s="12">
        <f>Velocity!$C$29</f>
        <v>46259.999305555553</v>
      </c>
      <c r="M28" t="str">
        <f>IF(K28&lt;H28,"True","False")</f>
        <v>False</v>
      </c>
      <c r="N28">
        <f>IF(M28="False",I28,"")</f>
        <v>0</v>
      </c>
      <c r="O28" t="str">
        <f>IF(M28="True",I28,"")</f>
        <v/>
      </c>
      <c r="P28">
        <f t="shared" si="0"/>
        <v>0</v>
      </c>
    </row>
    <row r="29" spans="1:16">
      <c r="A29" s="1">
        <v>931789</v>
      </c>
      <c r="B29" s="1" t="s">
        <v>170</v>
      </c>
      <c r="C29" s="1" t="s">
        <v>256</v>
      </c>
      <c r="D29" s="1" t="s">
        <v>176</v>
      </c>
      <c r="E29" s="1" t="s">
        <v>238</v>
      </c>
      <c r="F29" s="1" t="s">
        <v>250</v>
      </c>
      <c r="G29" s="1" t="s">
        <v>308</v>
      </c>
      <c r="H29" s="2">
        <v>46127.515277777777</v>
      </c>
      <c r="I29" s="1">
        <v>8</v>
      </c>
      <c r="J29" s="1">
        <v>2</v>
      </c>
      <c r="K29" s="12">
        <f>Velocity!$B$29</f>
        <v>46246</v>
      </c>
      <c r="L29" s="12">
        <f>Velocity!$C$29</f>
        <v>46259.999305555553</v>
      </c>
      <c r="M29" t="str">
        <f>IF(K29&lt;H29,"True","False")</f>
        <v>False</v>
      </c>
      <c r="N29">
        <f>IF(M29="False",I29,"")</f>
        <v>8</v>
      </c>
      <c r="O29" t="str">
        <f>IF(M29="True",I29,"")</f>
        <v/>
      </c>
      <c r="P29" t="str">
        <f t="shared" si="0"/>
        <v/>
      </c>
    </row>
    <row r="30" spans="1:16">
      <c r="A30" s="1">
        <v>1001380</v>
      </c>
      <c r="B30" s="1" t="s">
        <v>170</v>
      </c>
      <c r="C30" s="1" t="s">
        <v>268</v>
      </c>
      <c r="D30" s="1" t="s">
        <v>176</v>
      </c>
      <c r="E30" s="1" t="s">
        <v>176</v>
      </c>
      <c r="F30" s="1" t="s">
        <v>5</v>
      </c>
      <c r="G30" s="1" t="s">
        <v>269</v>
      </c>
      <c r="H30" s="2">
        <v>46217.565972222219</v>
      </c>
      <c r="I30" s="1">
        <v>3</v>
      </c>
      <c r="J30" s="1"/>
      <c r="K30" s="12">
        <f>Velocity!$B$29</f>
        <v>46246</v>
      </c>
      <c r="L30" s="12">
        <f>Velocity!$C$29</f>
        <v>46259.999305555553</v>
      </c>
      <c r="M30" t="str">
        <f>IF(K30&lt;H30,"True","False")</f>
        <v>False</v>
      </c>
      <c r="N30">
        <f>IF(M30="False",I30,"")</f>
        <v>3</v>
      </c>
      <c r="O30" t="str">
        <f>IF(M30="True",I30,"")</f>
        <v/>
      </c>
      <c r="P30">
        <f t="shared" si="0"/>
        <v>3</v>
      </c>
    </row>
    <row r="31" spans="1:16">
      <c r="A31" s="1">
        <v>1023907</v>
      </c>
      <c r="B31" s="1" t="s">
        <v>209</v>
      </c>
      <c r="C31" s="1" t="s">
        <v>309</v>
      </c>
      <c r="D31" s="1" t="s">
        <v>176</v>
      </c>
      <c r="E31" s="1" t="s">
        <v>176</v>
      </c>
      <c r="F31" s="1" t="s">
        <v>250</v>
      </c>
      <c r="G31" s="1" t="s">
        <v>310</v>
      </c>
      <c r="H31" s="2">
        <v>46246.268750000003</v>
      </c>
      <c r="I31" s="1">
        <v>2</v>
      </c>
      <c r="J31" s="1">
        <v>2</v>
      </c>
      <c r="K31" s="12">
        <f>Velocity!$B$29</f>
        <v>46246</v>
      </c>
      <c r="L31" s="12">
        <f>Velocity!$C$29</f>
        <v>46259.999305555553</v>
      </c>
      <c r="M31" t="str">
        <f>IF(K31&lt;H31,"True","False")</f>
        <v>True</v>
      </c>
      <c r="N31" t="str">
        <f>IF(M31="False",I31,"")</f>
        <v/>
      </c>
      <c r="O31">
        <f>IF(M31="True",I31,"")</f>
        <v>2</v>
      </c>
      <c r="P31" t="str">
        <f t="shared" si="0"/>
        <v/>
      </c>
    </row>
    <row r="32" spans="1:16">
      <c r="A32" s="1">
        <v>1022744</v>
      </c>
      <c r="B32" s="1" t="s">
        <v>170</v>
      </c>
      <c r="C32" s="1" t="s">
        <v>290</v>
      </c>
      <c r="D32" s="1" t="s">
        <v>176</v>
      </c>
      <c r="E32" s="1" t="s">
        <v>176</v>
      </c>
      <c r="F32" s="1" t="s">
        <v>5</v>
      </c>
      <c r="G32" s="1" t="s">
        <v>241</v>
      </c>
      <c r="H32" s="2">
        <v>46245.456250000003</v>
      </c>
      <c r="I32" s="1">
        <v>3</v>
      </c>
      <c r="J32" s="1"/>
      <c r="K32" s="12">
        <f>Velocity!$B$29</f>
        <v>46246</v>
      </c>
      <c r="L32" s="12">
        <f>Velocity!$C$29</f>
        <v>46259.999305555553</v>
      </c>
      <c r="M32" t="str">
        <f>IF(K32&lt;H32,"True","False")</f>
        <v>False</v>
      </c>
      <c r="N32">
        <f>IF(M32="False",I32,"")</f>
        <v>3</v>
      </c>
      <c r="O32" t="str">
        <f>IF(M32="True",I32,"")</f>
        <v/>
      </c>
      <c r="P32">
        <f t="shared" si="0"/>
        <v>3</v>
      </c>
    </row>
    <row r="33" spans="1:16">
      <c r="A33" s="1">
        <v>1022796</v>
      </c>
      <c r="B33" s="1" t="s">
        <v>170</v>
      </c>
      <c r="C33" s="1" t="s">
        <v>246</v>
      </c>
      <c r="D33" s="1" t="s">
        <v>178</v>
      </c>
      <c r="E33" s="1" t="s">
        <v>178</v>
      </c>
      <c r="F33" s="1" t="s">
        <v>5</v>
      </c>
      <c r="G33" s="1" t="s">
        <v>267</v>
      </c>
      <c r="H33" s="2">
        <v>46245.493750000001</v>
      </c>
      <c r="I33" s="1">
        <v>5</v>
      </c>
      <c r="J33" s="1"/>
      <c r="K33" s="12">
        <f>Velocity!$B$29</f>
        <v>46246</v>
      </c>
      <c r="L33" s="12">
        <f>Velocity!$C$29</f>
        <v>46259.999305555553</v>
      </c>
      <c r="M33" t="str">
        <f>IF(K33&lt;H33,"True","False")</f>
        <v>False</v>
      </c>
      <c r="N33">
        <f>IF(M33="False",I33,"")</f>
        <v>5</v>
      </c>
      <c r="O33" t="str">
        <f>IF(M33="True",I33,"")</f>
        <v/>
      </c>
      <c r="P33">
        <f t="shared" si="0"/>
        <v>5</v>
      </c>
    </row>
    <row r="34" spans="1:16">
      <c r="A34" s="1">
        <v>931776</v>
      </c>
      <c r="B34" s="1" t="s">
        <v>170</v>
      </c>
      <c r="C34" s="1" t="s">
        <v>255</v>
      </c>
      <c r="D34" s="1" t="s">
        <v>178</v>
      </c>
      <c r="E34" s="1" t="s">
        <v>178</v>
      </c>
      <c r="F34" s="1" t="s">
        <v>5</v>
      </c>
      <c r="G34" s="1" t="s">
        <v>225</v>
      </c>
      <c r="H34" s="2">
        <v>46127.5</v>
      </c>
      <c r="I34" s="1">
        <v>5</v>
      </c>
      <c r="J34" s="1"/>
      <c r="K34" s="12">
        <f>Velocity!$B$29</f>
        <v>46246</v>
      </c>
      <c r="L34" s="12">
        <f>Velocity!$C$29</f>
        <v>46259.999305555553</v>
      </c>
      <c r="M34" t="str">
        <f>IF(K34&lt;H34,"True","False")</f>
        <v>False</v>
      </c>
      <c r="N34">
        <f>IF(M34="False",I34,"")</f>
        <v>5</v>
      </c>
      <c r="O34" t="str">
        <f>IF(M34="True",I34,"")</f>
        <v/>
      </c>
      <c r="P34">
        <f t="shared" si="0"/>
        <v>5</v>
      </c>
    </row>
    <row r="35" spans="1:16">
      <c r="A35" s="1">
        <v>1027252</v>
      </c>
      <c r="B35" s="1" t="s">
        <v>170</v>
      </c>
      <c r="C35" s="1" t="s">
        <v>311</v>
      </c>
      <c r="D35" s="1" t="s">
        <v>178</v>
      </c>
      <c r="E35" s="1" t="s">
        <v>178</v>
      </c>
      <c r="F35" s="1" t="s">
        <v>5</v>
      </c>
      <c r="G35" s="1" t="s">
        <v>267</v>
      </c>
      <c r="H35" s="2">
        <v>46252.055555555555</v>
      </c>
      <c r="I35" s="1">
        <v>2</v>
      </c>
      <c r="J35" s="1"/>
      <c r="K35" s="12">
        <f>Velocity!$B$29</f>
        <v>46246</v>
      </c>
      <c r="L35" s="12">
        <f>Velocity!$C$29</f>
        <v>46259.999305555553</v>
      </c>
      <c r="M35" t="str">
        <f>IF(K35&lt;H35,"True","False")</f>
        <v>True</v>
      </c>
      <c r="N35" t="str">
        <f>IF(M35="False",I35,"")</f>
        <v/>
      </c>
      <c r="O35">
        <f>IF(M35="True",I35,"")</f>
        <v>2</v>
      </c>
      <c r="P35">
        <f t="shared" si="0"/>
        <v>2</v>
      </c>
    </row>
    <row r="36" spans="1:16">
      <c r="A36" s="1">
        <v>1031717</v>
      </c>
      <c r="B36" s="1" t="s">
        <v>170</v>
      </c>
      <c r="C36" s="1" t="s">
        <v>312</v>
      </c>
      <c r="D36" s="1" t="s">
        <v>275</v>
      </c>
      <c r="E36" s="1" t="s">
        <v>275</v>
      </c>
      <c r="F36" s="8" t="s">
        <v>5</v>
      </c>
      <c r="G36" s="1" t="s">
        <v>241</v>
      </c>
      <c r="H36" s="2">
        <v>46259.352777777778</v>
      </c>
      <c r="I36" s="1">
        <v>3</v>
      </c>
      <c r="J36" s="1"/>
      <c r="K36" s="12">
        <f>Velocity!$B$29</f>
        <v>46246</v>
      </c>
      <c r="L36" s="12">
        <f>Velocity!$C$29</f>
        <v>46259.999305555553</v>
      </c>
      <c r="M36" t="str">
        <f>IF(K36&lt;H36,"True","False")</f>
        <v>True</v>
      </c>
      <c r="N36" t="str">
        <f>IF(M36="False",I36,"")</f>
        <v/>
      </c>
      <c r="O36">
        <f>IF(M36="True",I36,"")</f>
        <v>3</v>
      </c>
      <c r="P36">
        <f t="shared" si="0"/>
        <v>3</v>
      </c>
    </row>
    <row r="37" spans="1:16">
      <c r="A37" s="1">
        <v>946206</v>
      </c>
      <c r="B37" s="1" t="s">
        <v>170</v>
      </c>
      <c r="C37" s="1" t="s">
        <v>257</v>
      </c>
      <c r="D37" s="1" t="s">
        <v>275</v>
      </c>
      <c r="E37" s="1" t="s">
        <v>275</v>
      </c>
      <c r="F37" s="1" t="s">
        <v>5</v>
      </c>
      <c r="G37" s="1" t="s">
        <v>258</v>
      </c>
      <c r="H37" s="2">
        <v>46147.384722222225</v>
      </c>
      <c r="I37" s="1">
        <v>5</v>
      </c>
      <c r="J37" s="1"/>
      <c r="K37" s="12">
        <f>Velocity!$B$29</f>
        <v>46246</v>
      </c>
      <c r="L37" s="12">
        <f>Velocity!$C$29</f>
        <v>46259.999305555553</v>
      </c>
      <c r="M37" t="str">
        <f>IF(K37&lt;H37,"True","False")</f>
        <v>False</v>
      </c>
      <c r="N37">
        <f>IF(M37="False",I37,"")</f>
        <v>5</v>
      </c>
      <c r="O37" t="str">
        <f>IF(M37="True",I37,"")</f>
        <v/>
      </c>
      <c r="P37">
        <f t="shared" si="0"/>
        <v>5</v>
      </c>
    </row>
    <row r="38" spans="1:16">
      <c r="A38" s="1">
        <v>1022839</v>
      </c>
      <c r="B38" s="1" t="s">
        <v>170</v>
      </c>
      <c r="C38" s="1" t="s">
        <v>291</v>
      </c>
      <c r="D38" s="1" t="s">
        <v>213</v>
      </c>
      <c r="E38" s="1" t="s">
        <v>213</v>
      </c>
      <c r="F38" s="1" t="s">
        <v>250</v>
      </c>
      <c r="G38" s="1" t="s">
        <v>292</v>
      </c>
      <c r="H38" s="2">
        <v>46245.505555555559</v>
      </c>
      <c r="I38" s="1">
        <v>5</v>
      </c>
      <c r="J38" s="1"/>
      <c r="K38" s="12">
        <f>Velocity!$B$29</f>
        <v>46246</v>
      </c>
      <c r="L38" s="12">
        <f>Velocity!$C$29</f>
        <v>46259.999305555553</v>
      </c>
      <c r="M38" t="str">
        <f>IF(K38&lt;H38,"True","False")</f>
        <v>False</v>
      </c>
      <c r="N38">
        <f>IF(M38="False",I38,"")</f>
        <v>5</v>
      </c>
      <c r="O38" t="str">
        <f>IF(M38="True",I38,"")</f>
        <v/>
      </c>
      <c r="P38">
        <f t="shared" si="0"/>
        <v>5</v>
      </c>
    </row>
    <row r="39" spans="1:16">
      <c r="A39" s="1">
        <v>1014332</v>
      </c>
      <c r="B39" s="1" t="s">
        <v>170</v>
      </c>
      <c r="C39" s="1" t="s">
        <v>278</v>
      </c>
      <c r="D39" s="1" t="s">
        <v>213</v>
      </c>
      <c r="E39" s="1" t="s">
        <v>213</v>
      </c>
      <c r="F39" s="1" t="s">
        <v>5</v>
      </c>
      <c r="G39" s="1" t="s">
        <v>277</v>
      </c>
      <c r="H39" s="2">
        <v>46232.494444444441</v>
      </c>
      <c r="I39" s="1">
        <v>5</v>
      </c>
      <c r="J39" s="1"/>
      <c r="K39" s="12">
        <f>Velocity!$B$29</f>
        <v>46246</v>
      </c>
      <c r="L39" s="12">
        <f>Velocity!$C$29</f>
        <v>46259.999305555553</v>
      </c>
      <c r="M39" t="str">
        <f>IF(K39&lt;H39,"True","False")</f>
        <v>False</v>
      </c>
      <c r="N39">
        <f>IF(M39="False",I39,"")</f>
        <v>5</v>
      </c>
      <c r="O39" t="str">
        <f>IF(M39="True",I39,"")</f>
        <v/>
      </c>
      <c r="P39">
        <f t="shared" si="0"/>
        <v>5</v>
      </c>
    </row>
    <row r="40" spans="1:16">
      <c r="A40" s="1">
        <v>1029039</v>
      </c>
      <c r="B40" s="1" t="s">
        <v>170</v>
      </c>
      <c r="C40" s="1" t="s">
        <v>313</v>
      </c>
      <c r="D40" s="1" t="s">
        <v>196</v>
      </c>
      <c r="E40" s="1" t="s">
        <v>196</v>
      </c>
      <c r="F40" s="1" t="s">
        <v>5</v>
      </c>
      <c r="G40" s="1" t="s">
        <v>267</v>
      </c>
      <c r="H40" s="2">
        <v>46253.679861111108</v>
      </c>
      <c r="I40" s="1">
        <v>3</v>
      </c>
      <c r="J40" s="1"/>
      <c r="K40" s="12">
        <f>Velocity!$B$29</f>
        <v>46246</v>
      </c>
      <c r="L40" s="12">
        <f>Velocity!$C$29</f>
        <v>46259.999305555553</v>
      </c>
      <c r="M40" t="str">
        <f>IF(K40&lt;H40,"True","False")</f>
        <v>True</v>
      </c>
      <c r="N40">
        <v>3</v>
      </c>
      <c r="P40">
        <f t="shared" si="0"/>
        <v>3</v>
      </c>
    </row>
    <row r="41" spans="1:16">
      <c r="A41" s="1">
        <v>1029053</v>
      </c>
      <c r="B41" s="1" t="s">
        <v>170</v>
      </c>
      <c r="C41" s="1" t="s">
        <v>314</v>
      </c>
      <c r="D41" s="1" t="s">
        <v>196</v>
      </c>
      <c r="E41" s="1" t="s">
        <v>196</v>
      </c>
      <c r="F41" s="1" t="s">
        <v>5</v>
      </c>
      <c r="G41" s="1" t="s">
        <v>267</v>
      </c>
      <c r="H41" s="2">
        <v>46253.686111111114</v>
      </c>
      <c r="I41" s="1">
        <v>3</v>
      </c>
      <c r="J41" s="1"/>
      <c r="K41" s="12">
        <f>Velocity!$B$29</f>
        <v>46246</v>
      </c>
      <c r="L41" s="12">
        <f>Velocity!$C$29</f>
        <v>46259.999305555553</v>
      </c>
      <c r="M41" t="str">
        <f>IF(K41&lt;H41,"True","False")</f>
        <v>True</v>
      </c>
      <c r="N41">
        <v>3</v>
      </c>
      <c r="P41">
        <f t="shared" si="0"/>
        <v>3</v>
      </c>
    </row>
    <row r="42" spans="1:16">
      <c r="A42" s="1">
        <v>1029058</v>
      </c>
      <c r="B42" s="1" t="s">
        <v>170</v>
      </c>
      <c r="C42" s="1" t="s">
        <v>315</v>
      </c>
      <c r="D42" s="1" t="s">
        <v>196</v>
      </c>
      <c r="E42" s="1" t="s">
        <v>196</v>
      </c>
      <c r="F42" s="1" t="s">
        <v>5</v>
      </c>
      <c r="G42" s="1" t="s">
        <v>267</v>
      </c>
      <c r="H42" s="2">
        <v>46253.692361111112</v>
      </c>
      <c r="I42" s="1">
        <v>3</v>
      </c>
      <c r="J42" s="1"/>
      <c r="K42" s="12">
        <f>Velocity!$B$29</f>
        <v>46246</v>
      </c>
      <c r="L42" s="12">
        <f>Velocity!$C$29</f>
        <v>46259.999305555553</v>
      </c>
      <c r="M42" t="str">
        <f>IF(K42&lt;H42,"True","False")</f>
        <v>True</v>
      </c>
      <c r="N42">
        <v>3</v>
      </c>
      <c r="P42">
        <f t="shared" si="0"/>
        <v>3</v>
      </c>
    </row>
    <row r="43" spans="1:16">
      <c r="A43" s="1">
        <v>1029064</v>
      </c>
      <c r="B43" s="1" t="s">
        <v>170</v>
      </c>
      <c r="C43" s="1" t="s">
        <v>316</v>
      </c>
      <c r="D43" s="1" t="s">
        <v>196</v>
      </c>
      <c r="E43" s="1" t="s">
        <v>196</v>
      </c>
      <c r="F43" s="1" t="s">
        <v>5</v>
      </c>
      <c r="G43" s="1" t="s">
        <v>267</v>
      </c>
      <c r="H43" s="2">
        <v>46253.703472222223</v>
      </c>
      <c r="I43" s="1">
        <v>3</v>
      </c>
      <c r="J43" s="1"/>
      <c r="K43" s="12">
        <f>Velocity!$B$29</f>
        <v>46246</v>
      </c>
      <c r="L43" s="12">
        <f>Velocity!$C$29</f>
        <v>46259.999305555553</v>
      </c>
      <c r="M43" t="str">
        <f>IF(K43&lt;H43,"True","False")</f>
        <v>True</v>
      </c>
      <c r="N43">
        <v>3</v>
      </c>
      <c r="P43">
        <f t="shared" si="0"/>
        <v>3</v>
      </c>
    </row>
    <row r="44" spans="1:16" s="10" customFormat="1">
      <c r="A44" s="8">
        <v>1001701</v>
      </c>
      <c r="B44" s="8" t="s">
        <v>170</v>
      </c>
      <c r="C44" s="8" t="s">
        <v>270</v>
      </c>
      <c r="E44" s="8"/>
      <c r="F44" s="8" t="s">
        <v>5</v>
      </c>
      <c r="G44" s="8" t="s">
        <v>220</v>
      </c>
      <c r="H44" s="9">
        <v>46217.738194444442</v>
      </c>
      <c r="I44" s="8"/>
      <c r="J44" s="8"/>
      <c r="K44" s="13">
        <f>Velocity!$B$29</f>
        <v>46246</v>
      </c>
      <c r="L44" s="13">
        <f>Velocity!$C$29</f>
        <v>46259.999305555553</v>
      </c>
      <c r="M44" s="10" t="str">
        <f>IF(K44&lt;H44,"True","False")</f>
        <v>False</v>
      </c>
      <c r="N44">
        <v>13</v>
      </c>
      <c r="O44" s="10" t="str">
        <f>IF(M44="True",I44,"")</f>
        <v/>
      </c>
      <c r="P44">
        <f t="shared" si="0"/>
        <v>0</v>
      </c>
    </row>
    <row r="45" spans="1:16">
      <c r="J45" s="3"/>
    </row>
  </sheetData>
  <autoFilter ref="A1:O46" xr:uid="{6B262B56-54EA-44C4-80F4-685D7A974272}">
    <sortState xmlns:xlrd2="http://schemas.microsoft.com/office/spreadsheetml/2017/richdata2" ref="A2:O46">
      <sortCondition ref="D1:D4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B8E7-53A2-4A16-9CEC-97459379CBE7}">
  <dimension ref="A1:O58"/>
  <sheetViews>
    <sheetView topLeftCell="A26" workbookViewId="0">
      <selection activeCell="K37" sqref="K37"/>
    </sheetView>
  </sheetViews>
  <sheetFormatPr defaultRowHeight="15"/>
  <cols>
    <col min="3" max="3" width="75.28515625" customWidth="1"/>
    <col min="4" max="4" width="39.28515625" bestFit="1" customWidth="1"/>
    <col min="6" max="6" width="19.28515625" bestFit="1" customWidth="1"/>
    <col min="8" max="8" width="17" bestFit="1" customWidth="1"/>
    <col min="9" max="9" width="11.5703125" bestFit="1" customWidth="1"/>
    <col min="10" max="10" width="17.42578125" bestFit="1" customWidth="1"/>
    <col min="11" max="11" width="10.42578125" bestFit="1" customWidth="1"/>
    <col min="12" max="12" width="9.28515625" bestFit="1" customWidth="1"/>
    <col min="15" max="15" width="10.42578125" customWidth="1"/>
  </cols>
  <sheetData>
    <row r="1" spans="1:15" ht="60.75">
      <c r="A1" s="4" t="s">
        <v>63</v>
      </c>
      <c r="B1" s="4" t="s">
        <v>158</v>
      </c>
      <c r="C1" s="4" t="s">
        <v>159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216</v>
      </c>
      <c r="J1" s="4" t="s">
        <v>166</v>
      </c>
      <c r="K1" s="5" t="s">
        <v>1</v>
      </c>
      <c r="L1" s="5" t="s">
        <v>2</v>
      </c>
      <c r="M1" s="5" t="s">
        <v>167</v>
      </c>
      <c r="N1" s="5" t="s">
        <v>169</v>
      </c>
      <c r="O1" s="5" t="s">
        <v>168</v>
      </c>
    </row>
    <row r="2" spans="1:15">
      <c r="A2" s="1">
        <v>820264</v>
      </c>
      <c r="B2" s="1" t="s">
        <v>170</v>
      </c>
      <c r="C2" s="1" t="s">
        <v>317</v>
      </c>
      <c r="D2" s="1" t="s">
        <v>180</v>
      </c>
      <c r="E2" s="1" t="s">
        <v>180</v>
      </c>
      <c r="F2" s="1" t="s">
        <v>318</v>
      </c>
      <c r="G2" s="1" t="s">
        <v>241</v>
      </c>
      <c r="H2" s="2">
        <v>45972.511111111111</v>
      </c>
      <c r="I2" s="1">
        <v>5</v>
      </c>
      <c r="J2" s="1"/>
      <c r="K2" s="96">
        <f>Velocity!$B$30</f>
        <v>46260</v>
      </c>
      <c r="L2" s="96">
        <f>Velocity!$C$30</f>
        <v>46273.999305555553</v>
      </c>
    </row>
    <row r="3" spans="1:15">
      <c r="A3" s="1">
        <v>937443</v>
      </c>
      <c r="B3" s="1" t="s">
        <v>319</v>
      </c>
      <c r="C3" s="1" t="s">
        <v>320</v>
      </c>
      <c r="D3" s="1" t="s">
        <v>180</v>
      </c>
      <c r="E3" s="1" t="s">
        <v>180</v>
      </c>
      <c r="F3" s="1" t="s">
        <v>321</v>
      </c>
      <c r="G3" s="1"/>
      <c r="H3" s="2">
        <v>46134.434027777781</v>
      </c>
      <c r="I3" s="1"/>
      <c r="J3" s="1"/>
      <c r="K3" s="96">
        <f>Velocity!$B$30</f>
        <v>46260</v>
      </c>
      <c r="L3" s="96">
        <f>Velocity!$C$30</f>
        <v>46273.999305555553</v>
      </c>
    </row>
    <row r="4" spans="1:15">
      <c r="A4" s="1">
        <v>937444</v>
      </c>
      <c r="B4" s="1" t="s">
        <v>319</v>
      </c>
      <c r="C4" s="1" t="s">
        <v>322</v>
      </c>
      <c r="D4" s="1" t="s">
        <v>180</v>
      </c>
      <c r="E4" s="1" t="s">
        <v>180</v>
      </c>
      <c r="F4" s="1" t="s">
        <v>321</v>
      </c>
      <c r="G4" s="1"/>
      <c r="H4" s="2">
        <v>46134.43472222222</v>
      </c>
      <c r="I4" s="1"/>
      <c r="J4" s="1"/>
      <c r="K4" s="96">
        <f>Velocity!$B$30</f>
        <v>46260</v>
      </c>
      <c r="L4" s="96">
        <f>Velocity!$C$30</f>
        <v>46273.999305555553</v>
      </c>
    </row>
    <row r="5" spans="1:15">
      <c r="A5" s="1">
        <v>989844</v>
      </c>
      <c r="B5" s="1" t="s">
        <v>170</v>
      </c>
      <c r="C5" s="1" t="s">
        <v>264</v>
      </c>
      <c r="D5" s="1" t="s">
        <v>180</v>
      </c>
      <c r="E5" s="1" t="s">
        <v>180</v>
      </c>
      <c r="F5" s="1" t="s">
        <v>318</v>
      </c>
      <c r="G5" s="1" t="s">
        <v>295</v>
      </c>
      <c r="H5" s="2">
        <v>46205.356249999997</v>
      </c>
      <c r="I5" s="1">
        <v>5</v>
      </c>
      <c r="J5" s="1">
        <v>5</v>
      </c>
      <c r="K5" s="96">
        <f>Velocity!$B$30</f>
        <v>46260</v>
      </c>
      <c r="L5" s="96">
        <f>Velocity!$C$30</f>
        <v>46273.999305555553</v>
      </c>
    </row>
    <row r="6" spans="1:15">
      <c r="A6" s="1">
        <v>1028882</v>
      </c>
      <c r="B6" s="1" t="s">
        <v>170</v>
      </c>
      <c r="C6" s="1" t="s">
        <v>323</v>
      </c>
      <c r="D6" s="1" t="s">
        <v>180</v>
      </c>
      <c r="E6" s="1" t="s">
        <v>180</v>
      </c>
      <c r="F6" s="1" t="s">
        <v>318</v>
      </c>
      <c r="G6" s="1" t="s">
        <v>241</v>
      </c>
      <c r="H6" s="2">
        <v>46253.636805555558</v>
      </c>
      <c r="I6" s="1">
        <v>3</v>
      </c>
      <c r="J6" s="1"/>
      <c r="K6" s="96">
        <f>Velocity!$B$30</f>
        <v>46260</v>
      </c>
      <c r="L6" s="96">
        <f>Velocity!$C$30</f>
        <v>46273.999305555553</v>
      </c>
    </row>
    <row r="7" spans="1:15">
      <c r="A7" s="1">
        <v>1031380</v>
      </c>
      <c r="B7" s="1" t="s">
        <v>170</v>
      </c>
      <c r="C7" s="1" t="s">
        <v>297</v>
      </c>
      <c r="D7" s="1" t="s">
        <v>180</v>
      </c>
      <c r="E7" s="1" t="s">
        <v>180</v>
      </c>
      <c r="F7" s="1" t="s">
        <v>318</v>
      </c>
      <c r="G7" s="1" t="s">
        <v>233</v>
      </c>
      <c r="H7" s="2">
        <v>46258.638194444444</v>
      </c>
      <c r="I7" s="1">
        <v>2</v>
      </c>
      <c r="J7" s="1"/>
      <c r="K7" s="96">
        <f>Velocity!$B$30</f>
        <v>46260</v>
      </c>
      <c r="L7" s="96">
        <f>Velocity!$C$30</f>
        <v>46273.999305555553</v>
      </c>
    </row>
    <row r="8" spans="1:15">
      <c r="A8" s="1">
        <v>1029141</v>
      </c>
      <c r="B8" s="1" t="s">
        <v>319</v>
      </c>
      <c r="C8" s="1" t="s">
        <v>324</v>
      </c>
      <c r="D8" s="1" t="s">
        <v>172</v>
      </c>
      <c r="E8" s="1" t="s">
        <v>172</v>
      </c>
      <c r="F8" s="1" t="s">
        <v>250</v>
      </c>
      <c r="G8" s="1"/>
      <c r="H8" s="2">
        <v>46254.29791666667</v>
      </c>
      <c r="I8" s="1"/>
      <c r="J8" s="1"/>
      <c r="K8" s="96">
        <f>Velocity!$B$30</f>
        <v>46260</v>
      </c>
      <c r="L8" s="96">
        <f>Velocity!$C$30</f>
        <v>46273.999305555553</v>
      </c>
    </row>
    <row r="9" spans="1:15">
      <c r="A9" s="1">
        <v>1029142</v>
      </c>
      <c r="B9" s="1" t="s">
        <v>319</v>
      </c>
      <c r="C9" s="1" t="s">
        <v>325</v>
      </c>
      <c r="D9" s="1" t="s">
        <v>172</v>
      </c>
      <c r="E9" s="1" t="s">
        <v>172</v>
      </c>
      <c r="F9" s="1" t="s">
        <v>250</v>
      </c>
      <c r="G9" s="1"/>
      <c r="H9" s="2">
        <v>46254.298611111109</v>
      </c>
      <c r="I9" s="1"/>
      <c r="J9" s="1"/>
      <c r="K9" s="96">
        <f>Velocity!$B$30</f>
        <v>46260</v>
      </c>
      <c r="L9" s="96">
        <f>Velocity!$C$30</f>
        <v>46273.999305555553</v>
      </c>
    </row>
    <row r="10" spans="1:15">
      <c r="A10" s="1">
        <v>1008149</v>
      </c>
      <c r="B10" s="1" t="s">
        <v>170</v>
      </c>
      <c r="C10" s="1" t="s">
        <v>326</v>
      </c>
      <c r="D10" s="1" t="s">
        <v>172</v>
      </c>
      <c r="E10" s="1" t="s">
        <v>172</v>
      </c>
      <c r="F10" s="1" t="s">
        <v>318</v>
      </c>
      <c r="G10" s="1" t="s">
        <v>233</v>
      </c>
      <c r="H10" s="2">
        <v>46225.375694444447</v>
      </c>
      <c r="I10" s="1">
        <v>5</v>
      </c>
      <c r="J10" s="1"/>
      <c r="K10" s="96">
        <f>Velocity!$B$30</f>
        <v>46260</v>
      </c>
      <c r="L10" s="96">
        <f>Velocity!$C$30</f>
        <v>46273.999305555553</v>
      </c>
    </row>
    <row r="11" spans="1:15">
      <c r="A11" s="1">
        <v>1021805</v>
      </c>
      <c r="B11" s="1" t="s">
        <v>170</v>
      </c>
      <c r="C11" s="1" t="s">
        <v>327</v>
      </c>
      <c r="D11" s="1" t="s">
        <v>172</v>
      </c>
      <c r="E11" s="1" t="s">
        <v>172</v>
      </c>
      <c r="F11" s="1" t="s">
        <v>301</v>
      </c>
      <c r="G11" s="1" t="s">
        <v>241</v>
      </c>
      <c r="H11" s="2">
        <v>46244.399305555555</v>
      </c>
      <c r="I11" s="1">
        <v>3</v>
      </c>
      <c r="J11" s="1"/>
      <c r="K11" s="96">
        <f>Velocity!$B$30</f>
        <v>46260</v>
      </c>
      <c r="L11" s="96">
        <f>Velocity!$C$30</f>
        <v>46273.999305555553</v>
      </c>
    </row>
    <row r="12" spans="1:15">
      <c r="A12" s="1">
        <v>1004745</v>
      </c>
      <c r="B12" s="1" t="s">
        <v>170</v>
      </c>
      <c r="C12" s="1" t="s">
        <v>328</v>
      </c>
      <c r="D12" s="1" t="s">
        <v>172</v>
      </c>
      <c r="E12" s="1" t="s">
        <v>172</v>
      </c>
      <c r="F12" s="1" t="s">
        <v>318</v>
      </c>
      <c r="G12" s="1" t="s">
        <v>241</v>
      </c>
      <c r="H12" s="2">
        <v>46219.411111111112</v>
      </c>
      <c r="I12" s="1">
        <v>3</v>
      </c>
      <c r="J12" s="1"/>
      <c r="K12" s="96">
        <f>Velocity!$B$30</f>
        <v>46260</v>
      </c>
      <c r="L12" s="96">
        <f>Velocity!$C$30</f>
        <v>46273.999305555553</v>
      </c>
    </row>
    <row r="13" spans="1:15">
      <c r="A13" s="1">
        <v>1005763</v>
      </c>
      <c r="B13" s="1" t="s">
        <v>170</v>
      </c>
      <c r="C13" s="1" t="s">
        <v>273</v>
      </c>
      <c r="D13" s="1" t="s">
        <v>172</v>
      </c>
      <c r="E13" s="1" t="s">
        <v>172</v>
      </c>
      <c r="F13" s="1" t="s">
        <v>250</v>
      </c>
      <c r="G13" s="1" t="s">
        <v>329</v>
      </c>
      <c r="H13" s="2">
        <v>46220.393055555556</v>
      </c>
      <c r="I13" s="1">
        <v>5</v>
      </c>
      <c r="J13" s="1">
        <v>1</v>
      </c>
      <c r="K13" s="96">
        <f>Velocity!$B$30</f>
        <v>46260</v>
      </c>
      <c r="L13" s="96">
        <f>Velocity!$C$30</f>
        <v>46273.999305555553</v>
      </c>
    </row>
    <row r="14" spans="1:15">
      <c r="A14" s="1">
        <v>1005768</v>
      </c>
      <c r="B14" s="1" t="s">
        <v>170</v>
      </c>
      <c r="C14" s="1" t="s">
        <v>330</v>
      </c>
      <c r="D14" s="1" t="s">
        <v>172</v>
      </c>
      <c r="E14" s="1" t="s">
        <v>172</v>
      </c>
      <c r="F14" s="1" t="s">
        <v>318</v>
      </c>
      <c r="G14" s="1" t="s">
        <v>233</v>
      </c>
      <c r="H14" s="2">
        <v>46220.398611111108</v>
      </c>
      <c r="I14" s="1">
        <v>5</v>
      </c>
      <c r="J14" s="1"/>
      <c r="K14" s="96">
        <f>Velocity!$B$30</f>
        <v>46260</v>
      </c>
      <c r="L14" s="96">
        <f>Velocity!$C$30</f>
        <v>46273.999305555553</v>
      </c>
    </row>
    <row r="15" spans="1:15">
      <c r="A15" s="1">
        <v>1004702</v>
      </c>
      <c r="B15" s="1" t="s">
        <v>170</v>
      </c>
      <c r="C15" s="1" t="s">
        <v>331</v>
      </c>
      <c r="D15" s="1" t="s">
        <v>199</v>
      </c>
      <c r="E15" s="1" t="s">
        <v>199</v>
      </c>
      <c r="F15" s="1" t="s">
        <v>318</v>
      </c>
      <c r="G15" s="1" t="s">
        <v>241</v>
      </c>
      <c r="H15" s="2">
        <v>46219.398611111108</v>
      </c>
      <c r="I15" s="1">
        <v>5</v>
      </c>
      <c r="J15" s="1"/>
      <c r="K15" s="96">
        <f>Velocity!$B$30</f>
        <v>46260</v>
      </c>
      <c r="L15" s="96">
        <f>Velocity!$C$30</f>
        <v>46273.999305555553</v>
      </c>
    </row>
    <row r="16" spans="1:15">
      <c r="A16" s="1">
        <v>1004737</v>
      </c>
      <c r="B16" s="1" t="s">
        <v>170</v>
      </c>
      <c r="C16" s="1" t="s">
        <v>332</v>
      </c>
      <c r="D16" s="1" t="s">
        <v>199</v>
      </c>
      <c r="E16" s="1" t="s">
        <v>199</v>
      </c>
      <c r="F16" s="1" t="s">
        <v>318</v>
      </c>
      <c r="G16" s="1" t="s">
        <v>241</v>
      </c>
      <c r="H16" s="2">
        <v>46219.408333333333</v>
      </c>
      <c r="I16" s="1">
        <v>5</v>
      </c>
      <c r="J16" s="1"/>
      <c r="K16" s="96">
        <f>Velocity!$B$30</f>
        <v>46260</v>
      </c>
      <c r="L16" s="96">
        <f>Velocity!$C$30</f>
        <v>46273.999305555553</v>
      </c>
    </row>
    <row r="17" spans="1:12">
      <c r="A17" s="1">
        <v>1031697</v>
      </c>
      <c r="B17" s="1" t="s">
        <v>319</v>
      </c>
      <c r="C17" s="1" t="s">
        <v>333</v>
      </c>
      <c r="D17" s="1"/>
      <c r="E17" s="1" t="s">
        <v>203</v>
      </c>
      <c r="F17" s="1" t="s">
        <v>321</v>
      </c>
      <c r="G17" s="1" t="s">
        <v>334</v>
      </c>
      <c r="H17" s="2">
        <v>46259.347916666666</v>
      </c>
      <c r="I17" s="1"/>
      <c r="J17" s="1"/>
      <c r="K17" s="96">
        <f>Velocity!$B$30</f>
        <v>46260</v>
      </c>
      <c r="L17" s="96">
        <f>Velocity!$C$30</f>
        <v>46273.999305555553</v>
      </c>
    </row>
    <row r="18" spans="1:12">
      <c r="A18" s="1">
        <v>1031698</v>
      </c>
      <c r="B18" s="1" t="s">
        <v>319</v>
      </c>
      <c r="C18" s="1" t="s">
        <v>335</v>
      </c>
      <c r="D18" s="1"/>
      <c r="E18" s="1" t="s">
        <v>203</v>
      </c>
      <c r="F18" s="1" t="s">
        <v>321</v>
      </c>
      <c r="G18" s="1" t="s">
        <v>334</v>
      </c>
      <c r="H18" s="2">
        <v>46259.347916666666</v>
      </c>
      <c r="I18" s="1"/>
      <c r="J18" s="1"/>
      <c r="K18" s="96">
        <f>Velocity!$B$30</f>
        <v>46260</v>
      </c>
      <c r="L18" s="96">
        <f>Velocity!$C$30</f>
        <v>46273.999305555553</v>
      </c>
    </row>
    <row r="19" spans="1:12">
      <c r="A19" s="1">
        <v>1031072</v>
      </c>
      <c r="B19" s="1" t="s">
        <v>170</v>
      </c>
      <c r="C19" s="1" t="s">
        <v>336</v>
      </c>
      <c r="D19" s="1"/>
      <c r="E19" s="1" t="s">
        <v>203</v>
      </c>
      <c r="F19" s="1" t="s">
        <v>318</v>
      </c>
      <c r="G19" s="1" t="s">
        <v>285</v>
      </c>
      <c r="H19" s="2">
        <v>46258.468055555553</v>
      </c>
      <c r="I19" s="1">
        <v>0</v>
      </c>
      <c r="J19" s="1"/>
      <c r="K19" s="96">
        <f>Velocity!$B$30</f>
        <v>46260</v>
      </c>
      <c r="L19" s="96">
        <f>Velocity!$C$30</f>
        <v>46273.999305555553</v>
      </c>
    </row>
    <row r="20" spans="1:12">
      <c r="A20" s="1">
        <v>1031078</v>
      </c>
      <c r="B20" s="1" t="s">
        <v>319</v>
      </c>
      <c r="C20" s="1" t="s">
        <v>337</v>
      </c>
      <c r="D20" s="1"/>
      <c r="E20" s="1" t="s">
        <v>203</v>
      </c>
      <c r="F20" s="1" t="s">
        <v>321</v>
      </c>
      <c r="G20" s="1" t="s">
        <v>334</v>
      </c>
      <c r="H20" s="2">
        <v>46258.470138888886</v>
      </c>
      <c r="I20" s="1"/>
      <c r="J20" s="1"/>
      <c r="K20" s="96">
        <f>Velocity!$B$30</f>
        <v>46260</v>
      </c>
      <c r="L20" s="96">
        <f>Velocity!$C$30</f>
        <v>46273.999305555553</v>
      </c>
    </row>
    <row r="21" spans="1:12">
      <c r="A21" s="1">
        <v>1032444</v>
      </c>
      <c r="B21" s="1" t="s">
        <v>319</v>
      </c>
      <c r="C21" s="1" t="s">
        <v>338</v>
      </c>
      <c r="D21" s="1"/>
      <c r="E21" s="1" t="s">
        <v>203</v>
      </c>
      <c r="F21" s="1" t="s">
        <v>250</v>
      </c>
      <c r="G21" s="1"/>
      <c r="H21" s="2">
        <v>46259.711111111108</v>
      </c>
      <c r="I21" s="1"/>
      <c r="J21" s="1"/>
      <c r="K21" s="96">
        <f>Velocity!$B$30</f>
        <v>46260</v>
      </c>
      <c r="L21" s="96">
        <f>Velocity!$C$30</f>
        <v>46273.999305555553</v>
      </c>
    </row>
    <row r="22" spans="1:12">
      <c r="A22" s="1">
        <v>1031360</v>
      </c>
      <c r="B22" s="1" t="s">
        <v>170</v>
      </c>
      <c r="C22" s="1" t="s">
        <v>339</v>
      </c>
      <c r="D22" s="1" t="s">
        <v>194</v>
      </c>
      <c r="E22" s="1" t="s">
        <v>194</v>
      </c>
      <c r="F22" s="1" t="s">
        <v>318</v>
      </c>
      <c r="G22" s="1" t="s">
        <v>236</v>
      </c>
      <c r="H22" s="2">
        <v>46258.627083333333</v>
      </c>
      <c r="I22" s="1">
        <v>5</v>
      </c>
      <c r="J22" s="1"/>
      <c r="K22" s="96">
        <f>Velocity!$B$30</f>
        <v>46260</v>
      </c>
      <c r="L22" s="96">
        <f>Velocity!$C$30</f>
        <v>46273.999305555553</v>
      </c>
    </row>
    <row r="23" spans="1:12">
      <c r="A23" s="1">
        <v>1032423</v>
      </c>
      <c r="B23" s="1" t="s">
        <v>170</v>
      </c>
      <c r="C23" s="1" t="s">
        <v>340</v>
      </c>
      <c r="D23" s="1" t="s">
        <v>194</v>
      </c>
      <c r="E23" s="1" t="s">
        <v>194</v>
      </c>
      <c r="F23" s="1" t="s">
        <v>318</v>
      </c>
      <c r="G23" s="1" t="s">
        <v>267</v>
      </c>
      <c r="H23" s="2">
        <v>46259.666666666664</v>
      </c>
      <c r="I23" s="1">
        <v>2</v>
      </c>
      <c r="J23" s="1"/>
      <c r="K23" s="96">
        <f>Velocity!$B$30</f>
        <v>46260</v>
      </c>
      <c r="L23" s="96">
        <f>Velocity!$C$30</f>
        <v>46273.999305555553</v>
      </c>
    </row>
    <row r="24" spans="1:12">
      <c r="A24" s="1">
        <v>1004762</v>
      </c>
      <c r="B24" s="1" t="s">
        <v>170</v>
      </c>
      <c r="C24" s="1" t="s">
        <v>272</v>
      </c>
      <c r="D24" s="1" t="s">
        <v>194</v>
      </c>
      <c r="E24" s="1" t="s">
        <v>194</v>
      </c>
      <c r="F24" s="1" t="s">
        <v>318</v>
      </c>
      <c r="G24" s="1" t="s">
        <v>303</v>
      </c>
      <c r="H24" s="2">
        <v>46219.418055555558</v>
      </c>
      <c r="I24" s="1">
        <v>5</v>
      </c>
      <c r="J24" s="1">
        <v>5</v>
      </c>
      <c r="K24" s="96">
        <f>Velocity!$B$30</f>
        <v>46260</v>
      </c>
      <c r="L24" s="96">
        <f>Velocity!$C$30</f>
        <v>46273.999305555553</v>
      </c>
    </row>
    <row r="25" spans="1:12">
      <c r="A25" s="1">
        <v>1007845</v>
      </c>
      <c r="B25" s="1" t="s">
        <v>170</v>
      </c>
      <c r="C25" s="1" t="s">
        <v>341</v>
      </c>
      <c r="D25" s="1" t="s">
        <v>194</v>
      </c>
      <c r="E25" s="1" t="s">
        <v>194</v>
      </c>
      <c r="F25" s="1" t="s">
        <v>301</v>
      </c>
      <c r="G25" s="1"/>
      <c r="H25" s="2">
        <v>46224.790277777778</v>
      </c>
      <c r="I25" s="1"/>
      <c r="J25" s="1"/>
      <c r="K25" s="96">
        <f>Velocity!$B$30</f>
        <v>46260</v>
      </c>
      <c r="L25" s="96">
        <f>Velocity!$C$30</f>
        <v>46273.999305555553</v>
      </c>
    </row>
    <row r="26" spans="1:12">
      <c r="A26" s="1">
        <v>1022335</v>
      </c>
      <c r="B26" s="1" t="s">
        <v>319</v>
      </c>
      <c r="C26" s="1" t="s">
        <v>342</v>
      </c>
      <c r="D26" s="1" t="s">
        <v>184</v>
      </c>
      <c r="E26" s="1" t="s">
        <v>184</v>
      </c>
      <c r="F26" s="1" t="s">
        <v>321</v>
      </c>
      <c r="G26" s="1"/>
      <c r="H26" s="2">
        <v>46244.716666666667</v>
      </c>
      <c r="I26" s="1"/>
      <c r="J26" s="1"/>
      <c r="K26" s="96">
        <f>Velocity!$B$30</f>
        <v>46260</v>
      </c>
      <c r="L26" s="96">
        <f>Velocity!$C$30</f>
        <v>46273.999305555553</v>
      </c>
    </row>
    <row r="27" spans="1:12">
      <c r="A27" s="1">
        <v>1018843</v>
      </c>
      <c r="B27" s="1" t="s">
        <v>170</v>
      </c>
      <c r="C27" s="1" t="s">
        <v>280</v>
      </c>
      <c r="D27" s="1" t="s">
        <v>184</v>
      </c>
      <c r="E27" s="1" t="s">
        <v>184</v>
      </c>
      <c r="F27" s="1" t="s">
        <v>318</v>
      </c>
      <c r="G27" s="1" t="s">
        <v>303</v>
      </c>
      <c r="H27" s="2">
        <v>46238.739583333336</v>
      </c>
      <c r="I27" s="1">
        <v>2</v>
      </c>
      <c r="J27" s="1">
        <v>2</v>
      </c>
      <c r="K27" s="96">
        <f>Velocity!$B$30</f>
        <v>46260</v>
      </c>
      <c r="L27" s="96">
        <f>Velocity!$C$30</f>
        <v>46273.999305555553</v>
      </c>
    </row>
    <row r="28" spans="1:12">
      <c r="A28" s="1">
        <v>1004693</v>
      </c>
      <c r="B28" s="1" t="s">
        <v>170</v>
      </c>
      <c r="C28" s="1" t="s">
        <v>343</v>
      </c>
      <c r="D28" s="1" t="s">
        <v>184</v>
      </c>
      <c r="E28" s="1" t="s">
        <v>184</v>
      </c>
      <c r="F28" s="1" t="s">
        <v>318</v>
      </c>
      <c r="G28" s="1" t="s">
        <v>267</v>
      </c>
      <c r="H28" s="2">
        <v>46219.395138888889</v>
      </c>
      <c r="I28" s="1">
        <v>5</v>
      </c>
      <c r="J28" s="1"/>
      <c r="K28" s="96">
        <f>Velocity!$B$30</f>
        <v>46260</v>
      </c>
      <c r="L28" s="96">
        <f>Velocity!$C$30</f>
        <v>46273.999305555553</v>
      </c>
    </row>
    <row r="29" spans="1:12">
      <c r="A29" s="1">
        <v>959000</v>
      </c>
      <c r="B29" s="1" t="s">
        <v>170</v>
      </c>
      <c r="C29" s="1" t="s">
        <v>259</v>
      </c>
      <c r="D29" s="1" t="s">
        <v>184</v>
      </c>
      <c r="E29" s="1" t="s">
        <v>184</v>
      </c>
      <c r="F29" s="1" t="s">
        <v>250</v>
      </c>
      <c r="G29" s="1" t="s">
        <v>307</v>
      </c>
      <c r="H29" s="2">
        <v>46164.384722222225</v>
      </c>
      <c r="I29" s="1">
        <v>5</v>
      </c>
      <c r="J29" s="1">
        <v>2</v>
      </c>
      <c r="K29" s="96">
        <f>Velocity!$B$30</f>
        <v>46260</v>
      </c>
      <c r="L29" s="96">
        <f>Velocity!$C$30</f>
        <v>46273.999305555553</v>
      </c>
    </row>
    <row r="30" spans="1:12">
      <c r="A30" s="1">
        <v>1032282</v>
      </c>
      <c r="B30" s="1" t="s">
        <v>170</v>
      </c>
      <c r="C30" s="1" t="s">
        <v>344</v>
      </c>
      <c r="D30" s="1" t="s">
        <v>184</v>
      </c>
      <c r="E30" s="1" t="s">
        <v>184</v>
      </c>
      <c r="F30" s="1" t="s">
        <v>318</v>
      </c>
      <c r="G30" s="1" t="s">
        <v>267</v>
      </c>
      <c r="H30" s="2">
        <v>46259.617361111108</v>
      </c>
      <c r="I30" s="1">
        <v>1</v>
      </c>
      <c r="J30" s="1"/>
      <c r="K30" s="96">
        <f>Velocity!$B$30</f>
        <v>46260</v>
      </c>
      <c r="L30" s="96">
        <f>Velocity!$C$30</f>
        <v>46273.999305555553</v>
      </c>
    </row>
    <row r="31" spans="1:12">
      <c r="A31" s="1">
        <v>1032419</v>
      </c>
      <c r="B31" s="1" t="s">
        <v>170</v>
      </c>
      <c r="C31" s="1" t="s">
        <v>340</v>
      </c>
      <c r="D31" s="1" t="s">
        <v>184</v>
      </c>
      <c r="E31" s="1" t="s">
        <v>184</v>
      </c>
      <c r="F31" s="1" t="s">
        <v>318</v>
      </c>
      <c r="G31" s="1" t="s">
        <v>267</v>
      </c>
      <c r="H31" s="2">
        <v>46259.663194444445</v>
      </c>
      <c r="I31" s="1">
        <v>2</v>
      </c>
      <c r="J31" s="1"/>
      <c r="K31" s="96">
        <f>Velocity!$B$30</f>
        <v>46260</v>
      </c>
      <c r="L31" s="96">
        <f>Velocity!$C$30</f>
        <v>46273.999305555553</v>
      </c>
    </row>
    <row r="32" spans="1:12">
      <c r="A32" s="1">
        <v>931789</v>
      </c>
      <c r="B32" s="1" t="s">
        <v>170</v>
      </c>
      <c r="C32" s="1" t="s">
        <v>256</v>
      </c>
      <c r="D32" s="1"/>
      <c r="E32" s="1" t="s">
        <v>238</v>
      </c>
      <c r="F32" s="1" t="s">
        <v>250</v>
      </c>
      <c r="G32" s="1" t="s">
        <v>308</v>
      </c>
      <c r="H32" s="2">
        <v>46127.515277777777</v>
      </c>
      <c r="I32" s="1">
        <v>8</v>
      </c>
      <c r="J32" s="1">
        <v>2</v>
      </c>
      <c r="K32" s="96">
        <f>Velocity!$B$30</f>
        <v>46260</v>
      </c>
      <c r="L32" s="96">
        <f>Velocity!$C$30</f>
        <v>46273.999305555553</v>
      </c>
    </row>
    <row r="33" spans="1:12">
      <c r="A33" s="1">
        <v>1005361</v>
      </c>
      <c r="B33" s="1" t="s">
        <v>170</v>
      </c>
      <c r="C33" s="1" t="s">
        <v>345</v>
      </c>
      <c r="D33" s="1" t="s">
        <v>176</v>
      </c>
      <c r="E33" s="1" t="s">
        <v>176</v>
      </c>
      <c r="F33" s="1" t="s">
        <v>318</v>
      </c>
      <c r="G33" s="1" t="s">
        <v>267</v>
      </c>
      <c r="H33" s="2">
        <v>46219.694444444445</v>
      </c>
      <c r="I33" s="1">
        <v>3</v>
      </c>
      <c r="J33" s="1"/>
      <c r="K33" s="96">
        <f>Velocity!$B$30</f>
        <v>46260</v>
      </c>
      <c r="L33" s="96">
        <f>Velocity!$C$30</f>
        <v>46273.999305555553</v>
      </c>
    </row>
    <row r="34" spans="1:12">
      <c r="A34" s="1">
        <v>1004747</v>
      </c>
      <c r="B34" s="1" t="s">
        <v>170</v>
      </c>
      <c r="C34" s="1" t="s">
        <v>346</v>
      </c>
      <c r="D34" s="1" t="s">
        <v>176</v>
      </c>
      <c r="E34" s="1" t="s">
        <v>176</v>
      </c>
      <c r="F34" s="1" t="s">
        <v>318</v>
      </c>
      <c r="G34" s="1" t="s">
        <v>267</v>
      </c>
      <c r="H34" s="2">
        <v>46219.412499999999</v>
      </c>
      <c r="I34" s="1">
        <v>5</v>
      </c>
      <c r="J34" s="1"/>
      <c r="K34" s="96">
        <f>Velocity!$B$30</f>
        <v>46260</v>
      </c>
      <c r="L34" s="96">
        <f>Velocity!$C$30</f>
        <v>46273.999305555553</v>
      </c>
    </row>
    <row r="35" spans="1:12">
      <c r="A35" s="1">
        <v>1022339</v>
      </c>
      <c r="B35" s="1" t="s">
        <v>319</v>
      </c>
      <c r="C35" s="1" t="s">
        <v>347</v>
      </c>
      <c r="D35" s="1" t="s">
        <v>176</v>
      </c>
      <c r="E35" s="1" t="s">
        <v>176</v>
      </c>
      <c r="F35" s="1" t="s">
        <v>321</v>
      </c>
      <c r="G35" s="1"/>
      <c r="H35" s="2">
        <v>46244.718055555553</v>
      </c>
      <c r="I35" s="1"/>
      <c r="J35" s="1"/>
      <c r="K35" s="96">
        <f>Velocity!$B$30</f>
        <v>46260</v>
      </c>
      <c r="L35" s="96">
        <f>Velocity!$C$30</f>
        <v>46273.999305555553</v>
      </c>
    </row>
    <row r="36" spans="1:12">
      <c r="A36" s="1">
        <v>1023614</v>
      </c>
      <c r="B36" s="1" t="s">
        <v>170</v>
      </c>
      <c r="C36" s="1" t="s">
        <v>348</v>
      </c>
      <c r="D36" s="1" t="s">
        <v>176</v>
      </c>
      <c r="E36" s="1" t="s">
        <v>176</v>
      </c>
      <c r="F36" s="1" t="s">
        <v>318</v>
      </c>
      <c r="G36" s="1" t="s">
        <v>267</v>
      </c>
      <c r="H36" s="2">
        <v>46245.661111111112</v>
      </c>
      <c r="I36" s="1">
        <v>2</v>
      </c>
      <c r="J36" s="1"/>
      <c r="K36" s="96">
        <f>Velocity!$B$30</f>
        <v>46260</v>
      </c>
      <c r="L36" s="96">
        <f>Velocity!$C$30</f>
        <v>46273.999305555553</v>
      </c>
    </row>
    <row r="37" spans="1:12">
      <c r="A37" s="1">
        <v>1023907</v>
      </c>
      <c r="B37" s="1" t="s">
        <v>209</v>
      </c>
      <c r="C37" s="1" t="s">
        <v>309</v>
      </c>
      <c r="D37" s="1" t="s">
        <v>176</v>
      </c>
      <c r="E37" s="1" t="s">
        <v>176</v>
      </c>
      <c r="F37" s="1" t="s">
        <v>250</v>
      </c>
      <c r="G37" s="1" t="s">
        <v>310</v>
      </c>
      <c r="H37" s="2">
        <v>46246.268750000003</v>
      </c>
      <c r="I37" s="1">
        <v>2</v>
      </c>
      <c r="J37" s="1">
        <v>2</v>
      </c>
      <c r="K37" s="96">
        <f>Velocity!$B$30</f>
        <v>46260</v>
      </c>
      <c r="L37" s="96">
        <f>Velocity!$C$30</f>
        <v>46273.999305555553</v>
      </c>
    </row>
    <row r="38" spans="1:12">
      <c r="A38" s="1">
        <v>1032422</v>
      </c>
      <c r="B38" s="1" t="s">
        <v>170</v>
      </c>
      <c r="C38" s="1" t="s">
        <v>340</v>
      </c>
      <c r="D38" s="1" t="s">
        <v>176</v>
      </c>
      <c r="E38" s="1" t="s">
        <v>176</v>
      </c>
      <c r="F38" s="1" t="s">
        <v>318</v>
      </c>
      <c r="G38" s="1" t="s">
        <v>267</v>
      </c>
      <c r="H38" s="2">
        <v>46259.665972222225</v>
      </c>
      <c r="I38" s="1">
        <v>2</v>
      </c>
      <c r="J38" s="1"/>
      <c r="K38" s="96">
        <f>Velocity!$B$30</f>
        <v>46260</v>
      </c>
      <c r="L38" s="96">
        <f>Velocity!$C$30</f>
        <v>46273.999305555553</v>
      </c>
    </row>
    <row r="39" spans="1:12">
      <c r="A39" s="1">
        <v>1032424</v>
      </c>
      <c r="B39" s="1" t="s">
        <v>170</v>
      </c>
      <c r="C39" s="1" t="s">
        <v>340</v>
      </c>
      <c r="D39" s="1" t="s">
        <v>178</v>
      </c>
      <c r="E39" s="1" t="s">
        <v>178</v>
      </c>
      <c r="F39" s="1" t="s">
        <v>318</v>
      </c>
      <c r="G39" s="1" t="s">
        <v>267</v>
      </c>
      <c r="H39" s="2">
        <v>46259.667361111111</v>
      </c>
      <c r="I39" s="1">
        <v>2</v>
      </c>
      <c r="J39" s="1"/>
      <c r="K39" s="96">
        <f>Velocity!$B$30</f>
        <v>46260</v>
      </c>
      <c r="L39" s="96">
        <f>Velocity!$C$30</f>
        <v>46273.999305555553</v>
      </c>
    </row>
    <row r="40" spans="1:12">
      <c r="A40" s="1">
        <v>1031751</v>
      </c>
      <c r="B40" s="1" t="s">
        <v>170</v>
      </c>
      <c r="C40" s="1" t="s">
        <v>349</v>
      </c>
      <c r="D40" s="1" t="s">
        <v>178</v>
      </c>
      <c r="E40" s="1" t="s">
        <v>178</v>
      </c>
      <c r="F40" s="1" t="s">
        <v>318</v>
      </c>
      <c r="G40" s="1" t="s">
        <v>225</v>
      </c>
      <c r="H40" s="2">
        <v>46259.375694444447</v>
      </c>
      <c r="I40" s="1">
        <v>3</v>
      </c>
      <c r="J40" s="1"/>
      <c r="K40" s="96">
        <f>Velocity!$B$30</f>
        <v>46260</v>
      </c>
      <c r="L40" s="96">
        <f>Velocity!$C$30</f>
        <v>46273.999305555553</v>
      </c>
    </row>
    <row r="41" spans="1:12">
      <c r="A41" s="1">
        <v>1023612</v>
      </c>
      <c r="B41" s="1" t="s">
        <v>170</v>
      </c>
      <c r="C41" s="1" t="s">
        <v>350</v>
      </c>
      <c r="D41" s="1" t="s">
        <v>178</v>
      </c>
      <c r="E41" s="1" t="s">
        <v>178</v>
      </c>
      <c r="F41" s="1" t="s">
        <v>318</v>
      </c>
      <c r="G41" s="1" t="s">
        <v>267</v>
      </c>
      <c r="H41" s="2">
        <v>46245.661111111112</v>
      </c>
      <c r="I41" s="1">
        <v>2</v>
      </c>
      <c r="J41" s="1"/>
      <c r="K41" s="96">
        <f>Velocity!$B$30</f>
        <v>46260</v>
      </c>
      <c r="L41" s="96">
        <f>Velocity!$C$30</f>
        <v>46273.999305555553</v>
      </c>
    </row>
    <row r="42" spans="1:12">
      <c r="A42" s="1">
        <v>1022338</v>
      </c>
      <c r="B42" s="1" t="s">
        <v>319</v>
      </c>
      <c r="C42" s="1" t="s">
        <v>351</v>
      </c>
      <c r="D42" s="1" t="s">
        <v>178</v>
      </c>
      <c r="E42" s="1" t="s">
        <v>178</v>
      </c>
      <c r="F42" s="1" t="s">
        <v>321</v>
      </c>
      <c r="G42" s="1"/>
      <c r="H42" s="2">
        <v>46244.718055555553</v>
      </c>
      <c r="I42" s="1"/>
      <c r="J42" s="1"/>
      <c r="K42" s="96">
        <f>Velocity!$B$30</f>
        <v>46260</v>
      </c>
      <c r="L42" s="96">
        <f>Velocity!$C$30</f>
        <v>46273.999305555553</v>
      </c>
    </row>
    <row r="43" spans="1:12">
      <c r="A43" s="1">
        <v>1004670</v>
      </c>
      <c r="B43" s="1" t="s">
        <v>170</v>
      </c>
      <c r="C43" s="1" t="s">
        <v>352</v>
      </c>
      <c r="D43" s="1" t="s">
        <v>178</v>
      </c>
      <c r="E43" s="1" t="s">
        <v>178</v>
      </c>
      <c r="F43" s="1" t="s">
        <v>318</v>
      </c>
      <c r="G43" s="1" t="s">
        <v>267</v>
      </c>
      <c r="H43" s="2">
        <v>46219.387499999997</v>
      </c>
      <c r="I43" s="1">
        <v>5</v>
      </c>
      <c r="J43" s="1"/>
      <c r="K43" s="96">
        <f>Velocity!$B$30</f>
        <v>46260</v>
      </c>
      <c r="L43" s="96">
        <f>Velocity!$C$30</f>
        <v>46273.999305555553</v>
      </c>
    </row>
    <row r="44" spans="1:12">
      <c r="A44" s="1">
        <v>1006172</v>
      </c>
      <c r="B44" s="1" t="s">
        <v>170</v>
      </c>
      <c r="C44" s="1" t="s">
        <v>274</v>
      </c>
      <c r="D44" s="1" t="s">
        <v>275</v>
      </c>
      <c r="E44" s="1" t="s">
        <v>275</v>
      </c>
      <c r="F44" s="1" t="s">
        <v>5</v>
      </c>
      <c r="G44" s="1" t="s">
        <v>295</v>
      </c>
      <c r="H44" s="2">
        <v>46220.645833333336</v>
      </c>
      <c r="I44" s="1">
        <v>3</v>
      </c>
      <c r="J44" s="1">
        <v>2</v>
      </c>
      <c r="K44" s="96">
        <f>Velocity!$B$30</f>
        <v>46260</v>
      </c>
      <c r="L44" s="96">
        <f>Velocity!$C$30</f>
        <v>46273.999305555553</v>
      </c>
    </row>
    <row r="45" spans="1:12">
      <c r="A45" s="1">
        <v>1029951</v>
      </c>
      <c r="B45" s="1" t="s">
        <v>170</v>
      </c>
      <c r="C45" s="1" t="s">
        <v>353</v>
      </c>
      <c r="D45" s="1" t="s">
        <v>275</v>
      </c>
      <c r="E45" s="1" t="s">
        <v>275</v>
      </c>
      <c r="F45" s="1" t="s">
        <v>318</v>
      </c>
      <c r="G45" s="1" t="s">
        <v>241</v>
      </c>
      <c r="H45" s="2">
        <v>46254.70416666667</v>
      </c>
      <c r="I45" s="1">
        <v>5</v>
      </c>
      <c r="J45" s="1"/>
      <c r="K45" s="96">
        <f>Velocity!$B$30</f>
        <v>46260</v>
      </c>
      <c r="L45" s="96">
        <f>Velocity!$C$30</f>
        <v>46273.999305555553</v>
      </c>
    </row>
    <row r="46" spans="1:12">
      <c r="A46" s="1">
        <v>1029952</v>
      </c>
      <c r="B46" s="1" t="s">
        <v>170</v>
      </c>
      <c r="C46" s="1" t="s">
        <v>354</v>
      </c>
      <c r="D46" s="1" t="s">
        <v>275</v>
      </c>
      <c r="E46" s="1" t="s">
        <v>275</v>
      </c>
      <c r="F46" s="1" t="s">
        <v>318</v>
      </c>
      <c r="G46" s="1" t="s">
        <v>241</v>
      </c>
      <c r="H46" s="2">
        <v>46254.704861111109</v>
      </c>
      <c r="I46" s="1">
        <v>2</v>
      </c>
      <c r="J46" s="1"/>
      <c r="K46" s="96">
        <f>Velocity!$B$30</f>
        <v>46260</v>
      </c>
      <c r="L46" s="96">
        <f>Velocity!$C$30</f>
        <v>46273.999305555553</v>
      </c>
    </row>
    <row r="47" spans="1:12">
      <c r="A47" s="1">
        <v>1029953</v>
      </c>
      <c r="B47" s="1" t="s">
        <v>170</v>
      </c>
      <c r="C47" s="1" t="s">
        <v>355</v>
      </c>
      <c r="D47" s="1" t="s">
        <v>275</v>
      </c>
      <c r="E47" s="1" t="s">
        <v>275</v>
      </c>
      <c r="F47" s="1" t="s">
        <v>318</v>
      </c>
      <c r="G47" s="1" t="s">
        <v>241</v>
      </c>
      <c r="H47" s="2">
        <v>46254.705555555556</v>
      </c>
      <c r="I47" s="1">
        <v>2</v>
      </c>
      <c r="J47" s="1"/>
      <c r="K47" s="96">
        <f>Velocity!$B$30</f>
        <v>46260</v>
      </c>
      <c r="L47" s="96">
        <f>Velocity!$C$30</f>
        <v>46273.999305555553</v>
      </c>
    </row>
    <row r="48" spans="1:12">
      <c r="A48" s="1">
        <v>1031720</v>
      </c>
      <c r="B48" s="1" t="s">
        <v>170</v>
      </c>
      <c r="C48" s="1" t="s">
        <v>356</v>
      </c>
      <c r="D48" s="1" t="s">
        <v>275</v>
      </c>
      <c r="E48" s="1" t="s">
        <v>275</v>
      </c>
      <c r="F48" s="1" t="s">
        <v>250</v>
      </c>
      <c r="G48" s="1" t="s">
        <v>241</v>
      </c>
      <c r="H48" s="2">
        <v>46259.354861111111</v>
      </c>
      <c r="I48" s="1">
        <v>3</v>
      </c>
      <c r="J48" s="1"/>
      <c r="K48" s="96">
        <f>Velocity!$B$30</f>
        <v>46260</v>
      </c>
      <c r="L48" s="96">
        <f>Velocity!$C$30</f>
        <v>46273.999305555553</v>
      </c>
    </row>
    <row r="49" spans="1:12">
      <c r="A49" s="1">
        <v>1004742</v>
      </c>
      <c r="B49" s="1" t="s">
        <v>170</v>
      </c>
      <c r="C49" s="1" t="s">
        <v>357</v>
      </c>
      <c r="D49" s="1" t="s">
        <v>174</v>
      </c>
      <c r="E49" s="1" t="s">
        <v>174</v>
      </c>
      <c r="F49" s="1" t="s">
        <v>318</v>
      </c>
      <c r="G49" s="1" t="s">
        <v>241</v>
      </c>
      <c r="H49" s="2">
        <v>46219.409722222219</v>
      </c>
      <c r="I49" s="1">
        <v>5</v>
      </c>
      <c r="J49" s="1"/>
      <c r="K49" s="96">
        <f>Velocity!$B$30</f>
        <v>46260</v>
      </c>
      <c r="L49" s="96">
        <f>Velocity!$C$30</f>
        <v>46273.999305555553</v>
      </c>
    </row>
    <row r="50" spans="1:12">
      <c r="A50" s="1">
        <v>1025920</v>
      </c>
      <c r="B50" s="1" t="s">
        <v>170</v>
      </c>
      <c r="C50" s="1" t="s">
        <v>358</v>
      </c>
      <c r="D50" s="1"/>
      <c r="E50" s="1" t="s">
        <v>359</v>
      </c>
      <c r="F50" s="1" t="s">
        <v>265</v>
      </c>
      <c r="G50" s="1" t="s">
        <v>267</v>
      </c>
      <c r="H50" s="2">
        <v>46247.71597222222</v>
      </c>
      <c r="I50" s="1"/>
      <c r="J50" s="1"/>
      <c r="K50" s="96">
        <f>Velocity!$B$30</f>
        <v>46260</v>
      </c>
      <c r="L50" s="96">
        <f>Velocity!$C$30</f>
        <v>46273.999305555553</v>
      </c>
    </row>
    <row r="51" spans="1:12">
      <c r="A51" s="1">
        <v>1001680</v>
      </c>
      <c r="B51" s="1" t="s">
        <v>170</v>
      </c>
      <c r="C51" s="1" t="s">
        <v>360</v>
      </c>
      <c r="D51" s="1" t="s">
        <v>213</v>
      </c>
      <c r="E51" s="1" t="s">
        <v>213</v>
      </c>
      <c r="F51" s="1" t="s">
        <v>318</v>
      </c>
      <c r="G51" s="1" t="s">
        <v>233</v>
      </c>
      <c r="H51" s="2">
        <v>46217.709027777775</v>
      </c>
      <c r="I51" s="1">
        <v>2</v>
      </c>
      <c r="J51" s="1"/>
      <c r="K51" s="96">
        <f>Velocity!$B$30</f>
        <v>46260</v>
      </c>
      <c r="L51" s="96">
        <f>Velocity!$C$30</f>
        <v>46273.999305555553</v>
      </c>
    </row>
    <row r="52" spans="1:12">
      <c r="A52" s="1">
        <v>1001681</v>
      </c>
      <c r="B52" s="1" t="s">
        <v>170</v>
      </c>
      <c r="C52" s="1" t="s">
        <v>361</v>
      </c>
      <c r="D52" s="1" t="s">
        <v>213</v>
      </c>
      <c r="E52" s="1" t="s">
        <v>213</v>
      </c>
      <c r="F52" s="1" t="s">
        <v>318</v>
      </c>
      <c r="G52" s="1" t="s">
        <v>233</v>
      </c>
      <c r="H52" s="2">
        <v>46217.709027777775</v>
      </c>
      <c r="I52" s="1">
        <v>3</v>
      </c>
      <c r="J52" s="1"/>
      <c r="K52" s="96">
        <f>Velocity!$B$30</f>
        <v>46260</v>
      </c>
      <c r="L52" s="96">
        <f>Velocity!$C$30</f>
        <v>46273.999305555553</v>
      </c>
    </row>
    <row r="53" spans="1:12">
      <c r="A53" s="1">
        <v>1031804</v>
      </c>
      <c r="B53" s="1" t="s">
        <v>170</v>
      </c>
      <c r="C53" s="1" t="s">
        <v>362</v>
      </c>
      <c r="D53" s="1" t="s">
        <v>213</v>
      </c>
      <c r="E53" s="1" t="s">
        <v>213</v>
      </c>
      <c r="F53" s="1" t="s">
        <v>318</v>
      </c>
      <c r="G53" s="1" t="s">
        <v>241</v>
      </c>
      <c r="H53" s="2">
        <v>46259.384027777778</v>
      </c>
      <c r="I53" s="1">
        <v>3</v>
      </c>
      <c r="J53" s="1"/>
      <c r="K53" s="96">
        <f>Velocity!$B$30</f>
        <v>46260</v>
      </c>
      <c r="L53" s="96">
        <f>Velocity!$C$30</f>
        <v>46273.999305555553</v>
      </c>
    </row>
    <row r="54" spans="1:12">
      <c r="A54" s="1">
        <v>1032434</v>
      </c>
      <c r="B54" s="1" t="s">
        <v>170</v>
      </c>
      <c r="C54" s="1" t="s">
        <v>363</v>
      </c>
      <c r="D54" s="1" t="s">
        <v>196</v>
      </c>
      <c r="E54" s="1" t="s">
        <v>196</v>
      </c>
      <c r="F54" s="1" t="s">
        <v>318</v>
      </c>
      <c r="G54" s="1" t="s">
        <v>267</v>
      </c>
      <c r="H54" s="2">
        <v>46259.686805555553</v>
      </c>
      <c r="I54" s="1">
        <v>3</v>
      </c>
      <c r="J54" s="1"/>
      <c r="K54" s="96">
        <f>Velocity!$B$30</f>
        <v>46260</v>
      </c>
      <c r="L54" s="96">
        <f>Velocity!$C$30</f>
        <v>46273.999305555553</v>
      </c>
    </row>
    <row r="55" spans="1:12">
      <c r="A55" s="1">
        <v>1032438</v>
      </c>
      <c r="B55" s="1" t="s">
        <v>170</v>
      </c>
      <c r="C55" s="1" t="s">
        <v>364</v>
      </c>
      <c r="D55" s="1" t="s">
        <v>196</v>
      </c>
      <c r="E55" s="1" t="s">
        <v>196</v>
      </c>
      <c r="F55" s="1" t="s">
        <v>318</v>
      </c>
      <c r="G55" s="1" t="s">
        <v>267</v>
      </c>
      <c r="H55" s="2">
        <v>46259.701388888891</v>
      </c>
      <c r="I55" s="1">
        <v>1</v>
      </c>
      <c r="J55" s="1"/>
      <c r="K55" s="96">
        <f>Velocity!$B$30</f>
        <v>46260</v>
      </c>
      <c r="L55" s="96">
        <f>Velocity!$C$30</f>
        <v>46273.999305555553</v>
      </c>
    </row>
    <row r="56" spans="1:12">
      <c r="A56" s="1">
        <v>1029058</v>
      </c>
      <c r="B56" s="1" t="s">
        <v>170</v>
      </c>
      <c r="C56" s="1" t="s">
        <v>315</v>
      </c>
      <c r="D56" s="1" t="s">
        <v>196</v>
      </c>
      <c r="E56" s="1" t="s">
        <v>196</v>
      </c>
      <c r="F56" s="1" t="s">
        <v>318</v>
      </c>
      <c r="G56" s="1" t="s">
        <v>303</v>
      </c>
      <c r="H56" s="2">
        <v>46253.692361111112</v>
      </c>
      <c r="I56" s="1">
        <v>3</v>
      </c>
      <c r="J56" s="1">
        <v>3</v>
      </c>
      <c r="K56" s="96">
        <f>Velocity!$B$30</f>
        <v>46260</v>
      </c>
      <c r="L56" s="96">
        <f>Velocity!$C$30</f>
        <v>46273.999305555553</v>
      </c>
    </row>
    <row r="57" spans="1:12">
      <c r="A57" s="1">
        <v>1025918</v>
      </c>
      <c r="B57" s="1" t="s">
        <v>170</v>
      </c>
      <c r="C57" s="1" t="s">
        <v>365</v>
      </c>
      <c r="D57" s="1" t="s">
        <v>196</v>
      </c>
      <c r="E57" s="1" t="s">
        <v>196</v>
      </c>
      <c r="F57" s="1" t="s">
        <v>318</v>
      </c>
      <c r="G57" s="1" t="s">
        <v>267</v>
      </c>
      <c r="H57" s="2">
        <v>46247.706250000003</v>
      </c>
      <c r="I57" s="1">
        <v>5</v>
      </c>
      <c r="J57" s="1"/>
      <c r="K57" s="96">
        <f>Velocity!$B$30</f>
        <v>46260</v>
      </c>
      <c r="L57" s="96">
        <f>Velocity!$C$30</f>
        <v>46273.999305555553</v>
      </c>
    </row>
    <row r="58" spans="1:12">
      <c r="A58" s="1">
        <v>1031359</v>
      </c>
      <c r="B58" s="1" t="s">
        <v>170</v>
      </c>
      <c r="C58" s="1" t="s">
        <v>366</v>
      </c>
      <c r="D58" s="1"/>
      <c r="E58" s="1"/>
      <c r="F58" s="1" t="s">
        <v>318</v>
      </c>
      <c r="G58" s="1" t="s">
        <v>220</v>
      </c>
      <c r="H58" s="2">
        <v>46258.626388888886</v>
      </c>
      <c r="I58" s="1">
        <v>13</v>
      </c>
      <c r="J58" s="1"/>
      <c r="K58" s="96">
        <f>Velocity!$B$30</f>
        <v>46260</v>
      </c>
      <c r="L58" s="96">
        <f>Velocity!$C$30</f>
        <v>46273.999305555553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5E7667704AB04CB32E353EB4DA125D" ma:contentTypeVersion="12" ma:contentTypeDescription="Create a new document." ma:contentTypeScope="" ma:versionID="c629de00f817f47e9c911d7115ad0c1a">
  <xsd:schema xmlns:xsd="http://www.w3.org/2001/XMLSchema" xmlns:xs="http://www.w3.org/2001/XMLSchema" xmlns:p="http://schemas.microsoft.com/office/2006/metadata/properties" xmlns:ns2="bf592e86-5b5a-4018-83a9-965d7428e7a0" xmlns:ns3="66429ad4-817c-4955-b6d0-795c5b471483" targetNamespace="http://schemas.microsoft.com/office/2006/metadata/properties" ma:root="true" ma:fieldsID="725ae1cd214b3651d660a1d27a65a025" ns2:_="" ns3:_="">
    <xsd:import namespace="bf592e86-5b5a-4018-83a9-965d7428e7a0"/>
    <xsd:import namespace="66429ad4-817c-4955-b6d0-795c5b4714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92e86-5b5a-4018-83a9-965d7428e7a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016edf4-0d03-4363-a41a-a513b410a4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29ad4-817c-4955-b6d0-795c5b4714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7a00384-b139-44d8-84cb-8f7818020088}" ma:internalName="TaxCatchAll" ma:showField="CatchAllData" ma:web="66429ad4-817c-4955-b6d0-795c5b471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592e86-5b5a-4018-83a9-965d7428e7a0">
      <Terms xmlns="http://schemas.microsoft.com/office/infopath/2007/PartnerControls"/>
    </lcf76f155ced4ddcb4097134ff3c332f>
    <TaxCatchAll xmlns="66429ad4-817c-4955-b6d0-795c5b4714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46313D-628D-4EF6-9FD8-0C726F5B9C93}"/>
</file>

<file path=customXml/itemProps2.xml><?xml version="1.0" encoding="utf-8"?>
<ds:datastoreItem xmlns:ds="http://schemas.openxmlformats.org/officeDocument/2006/customXml" ds:itemID="{C821C741-B492-4119-99C8-1C8BE4AFE7CF}"/>
</file>

<file path=customXml/itemProps3.xml><?xml version="1.0" encoding="utf-8"?>
<ds:datastoreItem xmlns:ds="http://schemas.openxmlformats.org/officeDocument/2006/customXml" ds:itemID="{E96DF14F-56A0-4C87-BE44-099F74B88441}"/>
</file>

<file path=docMetadata/LabelInfo.xml><?xml version="1.0" encoding="utf-8"?>
<clbl:labelList xmlns:clbl="http://schemas.microsoft.com/office/2020/mipLabelMetadata">
  <clbl:label id="{7beb7c7f-f76d-4a50-8dda-3529f032ef74}" enabled="1" method="Privileged" siteId="{e2ba673a-b782-4f44-b0b5-93da9025820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2026-08-20T12:02:53Z</dcterms:created>
  <dcterms:modified xsi:type="dcterms:W3CDTF">2026-09-02T00:31:21Z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0x010100825E7667704AB04CB32E353EB4DA125D</vt:lpwstr>
  </property>
  <property fmtid="{D5CDD505-2E9C-101B-9397-08002B2CF9AE}" pid="3" name="MediaServiceImageTags">
    <vt:lpwstr/>
  </property>
</Properties>
</file>